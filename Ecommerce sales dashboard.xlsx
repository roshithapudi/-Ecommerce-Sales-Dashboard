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06ca699274148b6/Documents/Data Analytics Journey/excel projecttts/"/>
    </mc:Choice>
  </mc:AlternateContent>
  <xr:revisionPtr revIDLastSave="1024" documentId="8_{1EAE82AC-0335-4AAC-AF45-4D3C94644711}" xr6:coauthVersionLast="47" xr6:coauthVersionMax="47" xr10:uidLastSave="{5DC79343-F657-44B6-98DB-AA64C473673A}"/>
  <bookViews>
    <workbookView xWindow="-110" yWindow="-110" windowWidth="19420" windowHeight="10300" activeTab="1" xr2:uid="{A0989984-E584-48D5-9EF7-1283E0281E23}"/>
  </bookViews>
  <sheets>
    <sheet name="Pivot" sheetId="2" r:id="rId1"/>
    <sheet name="Dasshboard" sheetId="3" r:id="rId2"/>
    <sheet name="Pivot2" sheetId="6" r:id="rId3"/>
    <sheet name="Data" sheetId="1" r:id="rId4"/>
  </sheets>
  <definedNames>
    <definedName name="_xlchart.v5.0" hidden="1">Pivot!$AB$3</definedName>
    <definedName name="_xlchart.v5.1" hidden="1">Pivot!$AB$4:$AB$61</definedName>
    <definedName name="_xlchart.v5.2" hidden="1">Pivot!$Z$3:$AA$3</definedName>
    <definedName name="_xlchart.v5.3" hidden="1">Pivot!$Z$4:$AA$61</definedName>
    <definedName name="_xlchart.v5.4" hidden="1">Pivot!$U$3:$V$3</definedName>
    <definedName name="_xlchart.v5.5" hidden="1">Pivot!$U$4:$V$61</definedName>
    <definedName name="_xlchart.v5.6" hidden="1">Pivot!$W$3</definedName>
    <definedName name="_xlchart.v5.7" hidden="1">Pivot!$W$4:$W$61</definedName>
    <definedName name="Slicer_Gender_Value">#N/A</definedName>
    <definedName name="Slicer_Order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 i="2" l="1"/>
  <c r="AA5" i="2"/>
  <c r="AB5" i="2"/>
  <c r="Z6" i="2"/>
  <c r="AA6" i="2"/>
  <c r="AB6" i="2"/>
  <c r="Z7" i="2"/>
  <c r="AA7" i="2"/>
  <c r="AB7" i="2"/>
  <c r="Z8" i="2"/>
  <c r="AA8" i="2"/>
  <c r="AB8" i="2"/>
  <c r="Z9" i="2"/>
  <c r="AA9" i="2"/>
  <c r="AB9" i="2"/>
  <c r="Z10" i="2"/>
  <c r="AA10" i="2"/>
  <c r="AB10" i="2"/>
  <c r="Z11" i="2"/>
  <c r="AA11" i="2"/>
  <c r="AB11" i="2"/>
  <c r="Z12" i="2"/>
  <c r="AA12" i="2"/>
  <c r="AB12" i="2"/>
  <c r="Z13" i="2"/>
  <c r="AA13" i="2"/>
  <c r="AB13" i="2"/>
  <c r="Z14" i="2"/>
  <c r="AA14" i="2"/>
  <c r="AB14" i="2"/>
  <c r="Z15" i="2"/>
  <c r="AA15" i="2"/>
  <c r="AB15" i="2"/>
  <c r="Z16" i="2"/>
  <c r="AA16" i="2"/>
  <c r="AB16" i="2"/>
  <c r="Z17" i="2"/>
  <c r="AA17" i="2"/>
  <c r="AB17" i="2"/>
  <c r="Z18" i="2"/>
  <c r="AA18" i="2"/>
  <c r="AB18" i="2"/>
  <c r="Z19" i="2"/>
  <c r="AA19" i="2"/>
  <c r="AB19" i="2"/>
  <c r="Z20" i="2"/>
  <c r="AA20" i="2"/>
  <c r="AB20" i="2"/>
  <c r="Z21" i="2"/>
  <c r="AA21" i="2"/>
  <c r="AB21" i="2"/>
  <c r="Z22" i="2"/>
  <c r="AA22" i="2"/>
  <c r="AB22" i="2"/>
  <c r="Z23" i="2"/>
  <c r="AA23" i="2"/>
  <c r="AB23" i="2"/>
  <c r="Z24" i="2"/>
  <c r="AA24" i="2"/>
  <c r="AB24" i="2"/>
  <c r="Z25" i="2"/>
  <c r="AA25" i="2"/>
  <c r="AB25" i="2"/>
  <c r="Z26" i="2"/>
  <c r="AA26" i="2"/>
  <c r="AB26" i="2"/>
  <c r="Z27" i="2"/>
  <c r="AA27" i="2"/>
  <c r="AB27" i="2"/>
  <c r="Z28" i="2"/>
  <c r="AA28" i="2"/>
  <c r="AB28" i="2"/>
  <c r="Z29" i="2"/>
  <c r="AA29" i="2"/>
  <c r="AB29" i="2"/>
  <c r="Z30" i="2"/>
  <c r="AA30" i="2"/>
  <c r="AB30" i="2"/>
  <c r="Z31" i="2"/>
  <c r="AA31" i="2"/>
  <c r="AB31" i="2"/>
  <c r="Z32" i="2"/>
  <c r="AA32" i="2"/>
  <c r="AB32" i="2"/>
  <c r="Z33" i="2"/>
  <c r="AA33" i="2"/>
  <c r="AB33" i="2"/>
  <c r="Z34" i="2"/>
  <c r="AA34" i="2"/>
  <c r="AB34" i="2"/>
  <c r="Z35" i="2"/>
  <c r="AA35" i="2"/>
  <c r="AB35" i="2"/>
  <c r="Z36" i="2"/>
  <c r="AA36" i="2"/>
  <c r="AB36" i="2"/>
  <c r="Z37" i="2"/>
  <c r="AA37" i="2"/>
  <c r="AB37" i="2"/>
  <c r="Z38" i="2"/>
  <c r="AA38" i="2"/>
  <c r="AB38" i="2"/>
  <c r="Z39" i="2"/>
  <c r="AA39" i="2"/>
  <c r="AB39" i="2"/>
  <c r="Z40" i="2"/>
  <c r="AA40" i="2"/>
  <c r="AB40" i="2"/>
  <c r="Z41" i="2"/>
  <c r="AA41" i="2"/>
  <c r="AB41" i="2"/>
  <c r="Z42" i="2"/>
  <c r="AA42" i="2"/>
  <c r="AB42" i="2"/>
  <c r="Z43" i="2"/>
  <c r="AA43" i="2"/>
  <c r="AB43" i="2"/>
  <c r="Z44" i="2"/>
  <c r="AA44" i="2"/>
  <c r="AB44" i="2"/>
  <c r="Z45" i="2"/>
  <c r="AA45" i="2"/>
  <c r="AB45" i="2"/>
  <c r="Z46" i="2"/>
  <c r="AA46" i="2"/>
  <c r="AB46" i="2"/>
  <c r="Z47" i="2"/>
  <c r="AA47" i="2"/>
  <c r="AB47" i="2"/>
  <c r="Z48" i="2"/>
  <c r="AA48" i="2"/>
  <c r="AB48" i="2"/>
  <c r="Z49" i="2"/>
  <c r="AA49" i="2"/>
  <c r="AB49" i="2"/>
  <c r="Z50" i="2"/>
  <c r="AA50" i="2"/>
  <c r="AB50" i="2"/>
  <c r="Z51" i="2"/>
  <c r="AA51" i="2"/>
  <c r="AB51" i="2"/>
  <c r="Z52" i="2"/>
  <c r="AA52" i="2"/>
  <c r="AB52" i="2"/>
  <c r="Z53" i="2"/>
  <c r="AA53" i="2"/>
  <c r="AB53" i="2"/>
  <c r="Z54" i="2"/>
  <c r="AA54" i="2"/>
  <c r="AB54" i="2"/>
  <c r="Z55" i="2"/>
  <c r="AA55" i="2"/>
  <c r="AB55" i="2"/>
  <c r="Z56" i="2"/>
  <c r="AA56" i="2"/>
  <c r="AB56" i="2"/>
  <c r="Z57" i="2"/>
  <c r="AA57" i="2"/>
  <c r="AB57" i="2"/>
  <c r="Z58" i="2"/>
  <c r="AA58" i="2"/>
  <c r="AB58" i="2"/>
  <c r="Z59" i="2"/>
  <c r="AA59" i="2"/>
  <c r="AB59" i="2"/>
  <c r="Z60" i="2"/>
  <c r="AA60" i="2"/>
  <c r="AB60" i="2"/>
  <c r="Z61" i="2"/>
  <c r="AA61" i="2"/>
  <c r="AB61" i="2"/>
  <c r="AA4" i="2"/>
  <c r="AB4" i="2"/>
  <c r="Z4" i="2"/>
  <c r="U5" i="2"/>
  <c r="V5" i="2"/>
  <c r="W5" i="2"/>
  <c r="U6" i="2"/>
  <c r="V6" i="2"/>
  <c r="W6" i="2"/>
  <c r="U7" i="2"/>
  <c r="V7" i="2"/>
  <c r="W7" i="2"/>
  <c r="U8" i="2"/>
  <c r="V8" i="2"/>
  <c r="W8" i="2"/>
  <c r="U9" i="2"/>
  <c r="V9" i="2"/>
  <c r="W9" i="2"/>
  <c r="U10" i="2"/>
  <c r="V10" i="2"/>
  <c r="W10" i="2"/>
  <c r="U11" i="2"/>
  <c r="V11" i="2"/>
  <c r="W11" i="2"/>
  <c r="U12" i="2"/>
  <c r="V12" i="2"/>
  <c r="W12" i="2"/>
  <c r="U13" i="2"/>
  <c r="V13" i="2"/>
  <c r="W13" i="2"/>
  <c r="U14" i="2"/>
  <c r="V14" i="2"/>
  <c r="W14" i="2"/>
  <c r="U15" i="2"/>
  <c r="V15" i="2"/>
  <c r="W15" i="2"/>
  <c r="U16" i="2"/>
  <c r="V16" i="2"/>
  <c r="W16" i="2"/>
  <c r="U17" i="2"/>
  <c r="V17" i="2"/>
  <c r="W17" i="2"/>
  <c r="U18" i="2"/>
  <c r="V18" i="2"/>
  <c r="W18" i="2"/>
  <c r="U19" i="2"/>
  <c r="V19" i="2"/>
  <c r="W19" i="2"/>
  <c r="U20" i="2"/>
  <c r="V20" i="2"/>
  <c r="W20" i="2"/>
  <c r="U21" i="2"/>
  <c r="V21" i="2"/>
  <c r="W21" i="2"/>
  <c r="U22" i="2"/>
  <c r="V22" i="2"/>
  <c r="W22" i="2"/>
  <c r="U23" i="2"/>
  <c r="V23" i="2"/>
  <c r="W23" i="2"/>
  <c r="U24" i="2"/>
  <c r="V24" i="2"/>
  <c r="W24" i="2"/>
  <c r="U25" i="2"/>
  <c r="V25" i="2"/>
  <c r="W25" i="2"/>
  <c r="U26" i="2"/>
  <c r="V26" i="2"/>
  <c r="W26" i="2"/>
  <c r="U27" i="2"/>
  <c r="V27" i="2"/>
  <c r="W27" i="2"/>
  <c r="U28" i="2"/>
  <c r="V28" i="2"/>
  <c r="W28" i="2"/>
  <c r="U29" i="2"/>
  <c r="V29" i="2"/>
  <c r="W29" i="2"/>
  <c r="U30" i="2"/>
  <c r="V30" i="2"/>
  <c r="W30" i="2"/>
  <c r="U31" i="2"/>
  <c r="V31" i="2"/>
  <c r="W31" i="2"/>
  <c r="U32" i="2"/>
  <c r="V32" i="2"/>
  <c r="W32" i="2"/>
  <c r="U33" i="2"/>
  <c r="V33" i="2"/>
  <c r="W33" i="2"/>
  <c r="U34" i="2"/>
  <c r="V34" i="2"/>
  <c r="W34" i="2"/>
  <c r="U35" i="2"/>
  <c r="V35" i="2"/>
  <c r="W35" i="2"/>
  <c r="U36" i="2"/>
  <c r="V36" i="2"/>
  <c r="W36" i="2"/>
  <c r="U37" i="2"/>
  <c r="V37" i="2"/>
  <c r="W37" i="2"/>
  <c r="U38" i="2"/>
  <c r="V38" i="2"/>
  <c r="W38" i="2"/>
  <c r="U39" i="2"/>
  <c r="V39" i="2"/>
  <c r="W39" i="2"/>
  <c r="U40" i="2"/>
  <c r="V40" i="2"/>
  <c r="W40" i="2"/>
  <c r="U41" i="2"/>
  <c r="V41" i="2"/>
  <c r="W41" i="2"/>
  <c r="U42" i="2"/>
  <c r="V42" i="2"/>
  <c r="W42" i="2"/>
  <c r="U43" i="2"/>
  <c r="V43" i="2"/>
  <c r="W43" i="2"/>
  <c r="U44" i="2"/>
  <c r="V44" i="2"/>
  <c r="W44" i="2"/>
  <c r="U45" i="2"/>
  <c r="V45" i="2"/>
  <c r="W45" i="2"/>
  <c r="U46" i="2"/>
  <c r="V46" i="2"/>
  <c r="W46" i="2"/>
  <c r="U47" i="2"/>
  <c r="V47" i="2"/>
  <c r="W47" i="2"/>
  <c r="U48" i="2"/>
  <c r="V48" i="2"/>
  <c r="W48" i="2"/>
  <c r="U49" i="2"/>
  <c r="V49" i="2"/>
  <c r="W49" i="2"/>
  <c r="U50" i="2"/>
  <c r="V50" i="2"/>
  <c r="W50" i="2"/>
  <c r="U51" i="2"/>
  <c r="V51" i="2"/>
  <c r="W51" i="2"/>
  <c r="U52" i="2"/>
  <c r="V52" i="2"/>
  <c r="W52" i="2"/>
  <c r="U53" i="2"/>
  <c r="V53" i="2"/>
  <c r="W53" i="2"/>
  <c r="U54" i="2"/>
  <c r="V54" i="2"/>
  <c r="W54" i="2"/>
  <c r="U55" i="2"/>
  <c r="V55" i="2"/>
  <c r="W55" i="2"/>
  <c r="U56" i="2"/>
  <c r="V56" i="2"/>
  <c r="W56" i="2"/>
  <c r="U57" i="2"/>
  <c r="V57" i="2"/>
  <c r="W57" i="2"/>
  <c r="U58" i="2"/>
  <c r="V58" i="2"/>
  <c r="W58" i="2"/>
  <c r="U59" i="2"/>
  <c r="V59" i="2"/>
  <c r="W59" i="2"/>
  <c r="U60" i="2"/>
  <c r="V60" i="2"/>
  <c r="W60" i="2"/>
  <c r="U61" i="2"/>
  <c r="V61" i="2"/>
  <c r="W61" i="2"/>
  <c r="V4" i="2"/>
  <c r="W4" i="2"/>
  <c r="U4" i="2"/>
  <c r="AB3" i="2"/>
  <c r="AA3" i="2"/>
  <c r="Z3" i="2"/>
  <c r="V3" i="2"/>
  <c r="W3" i="2"/>
  <c r="U3" i="2"/>
  <c r="N2" i="1"/>
  <c r="I5" i="2"/>
  <c r="J4" i="6"/>
  <c r="K4" i="6"/>
  <c r="L4" i="6"/>
  <c r="I4" i="6"/>
  <c r="I5" i="6"/>
  <c r="J5" i="6"/>
  <c r="K5" i="6"/>
  <c r="L5" i="6"/>
  <c r="I6" i="6"/>
  <c r="J6" i="6"/>
  <c r="K6" i="6"/>
  <c r="L6" i="6"/>
  <c r="I7" i="6"/>
  <c r="J7" i="6"/>
  <c r="K7" i="6"/>
  <c r="L7" i="6"/>
  <c r="I8" i="6"/>
  <c r="J8" i="6"/>
  <c r="K8" i="6"/>
  <c r="L8" i="6"/>
  <c r="I9" i="6"/>
  <c r="J9" i="6"/>
  <c r="K9" i="6"/>
  <c r="L9" i="6"/>
  <c r="H6" i="6"/>
  <c r="H7" i="6"/>
  <c r="H8" i="6"/>
  <c r="H9" i="6"/>
  <c r="H5" i="6"/>
  <c r="K5" i="2"/>
  <c r="J5" i="2"/>
  <c r="H5" i="2"/>
  <c r="G5" i="2"/>
  <c r="O2401" i="1" a="1"/>
  <c r="O2401" i="1" s="1"/>
  <c r="N2401" i="1"/>
  <c r="M2401" i="1"/>
  <c r="O2400" i="1"/>
  <c r="O2400" i="1" a="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c r="O2388" i="1" a="1"/>
  <c r="N2388" i="1"/>
  <c r="M2388" i="1"/>
  <c r="O2387" i="1"/>
  <c r="O2387" i="1" a="1"/>
  <c r="N2387" i="1"/>
  <c r="M2387" i="1"/>
  <c r="O2386" i="1" a="1"/>
  <c r="O2386" i="1" s="1"/>
  <c r="N2386" i="1"/>
  <c r="M2386" i="1"/>
  <c r="O2385" i="1" a="1"/>
  <c r="O2385" i="1" s="1"/>
  <c r="N2385" i="1"/>
  <c r="M2385" i="1"/>
  <c r="O2384" i="1" a="1"/>
  <c r="O2384" i="1" s="1"/>
  <c r="N2384" i="1"/>
  <c r="M2384" i="1"/>
  <c r="O2383" i="1" a="1"/>
  <c r="O2383" i="1" s="1"/>
  <c r="N2383" i="1"/>
  <c r="M2383" i="1"/>
  <c r="O2382" i="1"/>
  <c r="O2382" i="1" a="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c r="O2376" i="1" a="1"/>
  <c r="N2376" i="1"/>
  <c r="M2376" i="1"/>
  <c r="O2375" i="1"/>
  <c r="O2375" i="1" a="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c r="O2369" i="1" a="1"/>
  <c r="N2369" i="1"/>
  <c r="M2369" i="1"/>
  <c r="O2368" i="1" a="1"/>
  <c r="O2368" i="1" s="1"/>
  <c r="N2368" i="1"/>
  <c r="M2368" i="1"/>
  <c r="O2367" i="1" a="1"/>
  <c r="O2367" i="1" s="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c r="O2360" i="1" a="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c r="O2352" i="1" a="1"/>
  <c r="N2352" i="1"/>
  <c r="M2352" i="1"/>
  <c r="O2351" i="1"/>
  <c r="O2351" i="1" a="1"/>
  <c r="N2351" i="1"/>
  <c r="M2351" i="1"/>
  <c r="O2350" i="1" a="1"/>
  <c r="O2350" i="1" s="1"/>
  <c r="N2350" i="1"/>
  <c r="M2350" i="1"/>
  <c r="O2349" i="1"/>
  <c r="O2349" i="1" a="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c r="O2328" i="1" a="1"/>
  <c r="N2328" i="1"/>
  <c r="M2328" i="1"/>
  <c r="O2327" i="1"/>
  <c r="O2327" i="1" a="1"/>
  <c r="N2327" i="1"/>
  <c r="M2327" i="1"/>
  <c r="O2326" i="1" a="1"/>
  <c r="O2326" i="1" s="1"/>
  <c r="N2326" i="1"/>
  <c r="M2326" i="1"/>
  <c r="O2325" i="1" a="1"/>
  <c r="O2325" i="1" s="1"/>
  <c r="N2325" i="1"/>
  <c r="M2325" i="1"/>
  <c r="O2324" i="1"/>
  <c r="O2324" i="1" a="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c r="O2316" i="1" a="1"/>
  <c r="N2316" i="1"/>
  <c r="M2316" i="1"/>
  <c r="O2315" i="1"/>
  <c r="O2315" i="1" a="1"/>
  <c r="N2315" i="1"/>
  <c r="M2315" i="1"/>
  <c r="O2314" i="1" a="1"/>
  <c r="O2314" i="1" s="1"/>
  <c r="N2314" i="1"/>
  <c r="M2314" i="1"/>
  <c r="O2313" i="1"/>
  <c r="O2313" i="1" a="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c r="O2304" i="1" a="1"/>
  <c r="N2304" i="1"/>
  <c r="M2304" i="1"/>
  <c r="O2303" i="1"/>
  <c r="O2303" i="1" a="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c r="O2297" i="1" a="1"/>
  <c r="N2297" i="1"/>
  <c r="M2297" i="1"/>
  <c r="O2296" i="1" a="1"/>
  <c r="O2296" i="1" s="1"/>
  <c r="N2296" i="1"/>
  <c r="M2296" i="1"/>
  <c r="O2295" i="1" a="1"/>
  <c r="O2295" i="1" s="1"/>
  <c r="N2295" i="1"/>
  <c r="M2295" i="1"/>
  <c r="O2294" i="1" a="1"/>
  <c r="O2294" i="1" s="1"/>
  <c r="N2294" i="1"/>
  <c r="M2294" i="1"/>
  <c r="O2293" i="1" a="1"/>
  <c r="O2293" i="1" s="1"/>
  <c r="N2293" i="1"/>
  <c r="M2293" i="1"/>
  <c r="O2292" i="1"/>
  <c r="O2292" i="1" a="1"/>
  <c r="N2292" i="1"/>
  <c r="M2292" i="1"/>
  <c r="O2291" i="1" a="1"/>
  <c r="O2291" i="1" s="1"/>
  <c r="N2291" i="1"/>
  <c r="M2291" i="1"/>
  <c r="O2290" i="1" a="1"/>
  <c r="O2290" i="1" s="1"/>
  <c r="N2290" i="1"/>
  <c r="M2290" i="1"/>
  <c r="O2289" i="1" a="1"/>
  <c r="O2289" i="1" s="1"/>
  <c r="N2289" i="1"/>
  <c r="M2289" i="1"/>
  <c r="O2288" i="1"/>
  <c r="O2288" i="1" a="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c r="O2280" i="1" a="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c r="O2267" i="1" a="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c r="O2256" i="1" a="1"/>
  <c r="N2256" i="1"/>
  <c r="M2256" i="1"/>
  <c r="O2255" i="1"/>
  <c r="O2255" i="1" a="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c r="O2244" i="1" a="1"/>
  <c r="N2244" i="1"/>
  <c r="M2244" i="1"/>
  <c r="O2243" i="1"/>
  <c r="O2243" i="1" a="1"/>
  <c r="N2243" i="1"/>
  <c r="M2243" i="1"/>
  <c r="O2242" i="1" a="1"/>
  <c r="O2242" i="1" s="1"/>
  <c r="N2242" i="1"/>
  <c r="M2242" i="1"/>
  <c r="O2241" i="1" a="1"/>
  <c r="O2241" i="1" s="1"/>
  <c r="N2241" i="1"/>
  <c r="M2241" i="1"/>
  <c r="O2240" i="1" a="1"/>
  <c r="O2240" i="1" s="1"/>
  <c r="N2240" i="1"/>
  <c r="M2240" i="1"/>
  <c r="O2239" i="1" a="1"/>
  <c r="O2239" i="1" s="1"/>
  <c r="N2239" i="1"/>
  <c r="M2239" i="1"/>
  <c r="O2238" i="1"/>
  <c r="O2238" i="1" a="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c r="O2231" i="1" a="1"/>
  <c r="N2231" i="1"/>
  <c r="M2231" i="1"/>
  <c r="O2230" i="1" a="1"/>
  <c r="O2230" i="1" s="1"/>
  <c r="N2230" i="1"/>
  <c r="M2230" i="1"/>
  <c r="O2229" i="1"/>
  <c r="O2229" i="1" a="1"/>
  <c r="N2229" i="1"/>
  <c r="M2229" i="1"/>
  <c r="O2228" i="1"/>
  <c r="O2228" i="1" a="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c r="O2222" i="1" a="1"/>
  <c r="N2222" i="1"/>
  <c r="M2222" i="1"/>
  <c r="O2221" i="1" a="1"/>
  <c r="O2221" i="1" s="1"/>
  <c r="N2221" i="1"/>
  <c r="M2221" i="1"/>
  <c r="O2220" i="1"/>
  <c r="O2220" i="1" a="1"/>
  <c r="N2220" i="1"/>
  <c r="M2220" i="1"/>
  <c r="O2219" i="1" a="1"/>
  <c r="O2219" i="1" s="1"/>
  <c r="N2219" i="1"/>
  <c r="M2219" i="1"/>
  <c r="O2218" i="1" a="1"/>
  <c r="O2218" i="1" s="1"/>
  <c r="N2218" i="1"/>
  <c r="M2218" i="1"/>
  <c r="O2217" i="1" a="1"/>
  <c r="O2217" i="1" s="1"/>
  <c r="N2217" i="1"/>
  <c r="M2217" i="1"/>
  <c r="O2216" i="1"/>
  <c r="O2216" i="1" a="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c r="O2208" i="1" a="1"/>
  <c r="N2208" i="1"/>
  <c r="M2208" i="1"/>
  <c r="O2207" i="1"/>
  <c r="O2207" i="1" a="1"/>
  <c r="N2207" i="1"/>
  <c r="M2207" i="1"/>
  <c r="O2206" i="1" a="1"/>
  <c r="O2206" i="1" s="1"/>
  <c r="N2206" i="1"/>
  <c r="M2206" i="1"/>
  <c r="O2205" i="1"/>
  <c r="O2205" i="1" a="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c r="O2199" i="1" a="1"/>
  <c r="N2199" i="1"/>
  <c r="M2199" i="1"/>
  <c r="O2198" i="1" a="1"/>
  <c r="O2198" i="1" s="1"/>
  <c r="N2198" i="1"/>
  <c r="M2198" i="1"/>
  <c r="O2197" i="1" a="1"/>
  <c r="O2197" i="1" s="1"/>
  <c r="N2197" i="1"/>
  <c r="M2197" i="1"/>
  <c r="O2196" i="1" a="1"/>
  <c r="O2196" i="1" s="1"/>
  <c r="N2196" i="1"/>
  <c r="M2196" i="1"/>
  <c r="O2195" i="1"/>
  <c r="O2195" i="1" a="1"/>
  <c r="N2195" i="1"/>
  <c r="M2195" i="1"/>
  <c r="O2194" i="1" a="1"/>
  <c r="O2194" i="1" s="1"/>
  <c r="N2194" i="1"/>
  <c r="M2194" i="1"/>
  <c r="O2193" i="1"/>
  <c r="O2193" i="1" a="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c r="O2184" i="1" a="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c r="O2172" i="1" a="1"/>
  <c r="N2172" i="1"/>
  <c r="M2172" i="1"/>
  <c r="O2171" i="1"/>
  <c r="O2171" i="1" a="1"/>
  <c r="N2171" i="1"/>
  <c r="M2171" i="1"/>
  <c r="O2170" i="1" a="1"/>
  <c r="O2170" i="1" s="1"/>
  <c r="N2170" i="1"/>
  <c r="M2170" i="1"/>
  <c r="O2169" i="1" a="1"/>
  <c r="O2169" i="1" s="1"/>
  <c r="N2169" i="1"/>
  <c r="M2169" i="1"/>
  <c r="O2168" i="1" a="1"/>
  <c r="O2168" i="1" s="1"/>
  <c r="N2168" i="1"/>
  <c r="M2168" i="1"/>
  <c r="O2167" i="1" a="1"/>
  <c r="O2167" i="1" s="1"/>
  <c r="N2167" i="1"/>
  <c r="M2167" i="1"/>
  <c r="O2166" i="1"/>
  <c r="O2166" i="1" a="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c r="O2160" i="1" a="1"/>
  <c r="N2160" i="1"/>
  <c r="M2160" i="1"/>
  <c r="O2159" i="1"/>
  <c r="O2159" i="1" a="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c r="O2148" i="1" a="1"/>
  <c r="N2148" i="1"/>
  <c r="M2148" i="1"/>
  <c r="O2147" i="1" a="1"/>
  <c r="O2147" i="1" s="1"/>
  <c r="N2147" i="1"/>
  <c r="M2147" i="1"/>
  <c r="O2146" i="1"/>
  <c r="O2146" i="1" a="1"/>
  <c r="N2146" i="1"/>
  <c r="M2146" i="1"/>
  <c r="O2145" i="1"/>
  <c r="O2145" i="1" a="1"/>
  <c r="N2145" i="1"/>
  <c r="M2145" i="1"/>
  <c r="O2144" i="1" a="1"/>
  <c r="O2144" i="1" s="1"/>
  <c r="N2144" i="1"/>
  <c r="M2144" i="1"/>
  <c r="O2143" i="1"/>
  <c r="O2143" i="1" a="1"/>
  <c r="N2143" i="1"/>
  <c r="M2143" i="1"/>
  <c r="O2142" i="1"/>
  <c r="O2142" i="1" a="1"/>
  <c r="N2142" i="1"/>
  <c r="M2142" i="1"/>
  <c r="O2141" i="1" a="1"/>
  <c r="O2141" i="1" s="1"/>
  <c r="N2141" i="1"/>
  <c r="M2141" i="1"/>
  <c r="O2140" i="1"/>
  <c r="O2140" i="1" a="1"/>
  <c r="N2140" i="1"/>
  <c r="M2140" i="1"/>
  <c r="O2139" i="1"/>
  <c r="O2139" i="1" a="1"/>
  <c r="N2139" i="1"/>
  <c r="M2139" i="1"/>
  <c r="O2138" i="1" a="1"/>
  <c r="O2138" i="1" s="1"/>
  <c r="N2138" i="1"/>
  <c r="M2138" i="1"/>
  <c r="O2137" i="1"/>
  <c r="O2137" i="1" a="1"/>
  <c r="N2137" i="1"/>
  <c r="M2137" i="1"/>
  <c r="O2136" i="1"/>
  <c r="O2136" i="1" a="1"/>
  <c r="N2136" i="1"/>
  <c r="M2136" i="1"/>
  <c r="O2135" i="1" a="1"/>
  <c r="O2135" i="1" s="1"/>
  <c r="N2135" i="1"/>
  <c r="M2135" i="1"/>
  <c r="O2134" i="1"/>
  <c r="O2134" i="1" a="1"/>
  <c r="N2134" i="1"/>
  <c r="M2134" i="1"/>
  <c r="O2133" i="1"/>
  <c r="O2133" i="1" a="1"/>
  <c r="N2133" i="1"/>
  <c r="M2133" i="1"/>
  <c r="O2132" i="1" a="1"/>
  <c r="O2132" i="1" s="1"/>
  <c r="N2132" i="1"/>
  <c r="M2132" i="1"/>
  <c r="O2131" i="1"/>
  <c r="O2131" i="1" a="1"/>
  <c r="N2131" i="1"/>
  <c r="M2131" i="1"/>
  <c r="O2130" i="1"/>
  <c r="O2130" i="1" a="1"/>
  <c r="N2130" i="1"/>
  <c r="M2130" i="1"/>
  <c r="O2129" i="1" a="1"/>
  <c r="O2129" i="1" s="1"/>
  <c r="N2129" i="1"/>
  <c r="M2129" i="1"/>
  <c r="O2128" i="1"/>
  <c r="O2128" i="1" a="1"/>
  <c r="N2128" i="1"/>
  <c r="M2128" i="1"/>
  <c r="O2127" i="1"/>
  <c r="O2127" i="1" a="1"/>
  <c r="N2127" i="1"/>
  <c r="M2127" i="1"/>
  <c r="O2126" i="1" a="1"/>
  <c r="O2126" i="1" s="1"/>
  <c r="N2126" i="1"/>
  <c r="M2126" i="1"/>
  <c r="O2125" i="1"/>
  <c r="O2125" i="1" a="1"/>
  <c r="N2125" i="1"/>
  <c r="M2125" i="1"/>
  <c r="O2124" i="1"/>
  <c r="O2124" i="1" a="1"/>
  <c r="N2124" i="1"/>
  <c r="M2124" i="1"/>
  <c r="O2123" i="1" a="1"/>
  <c r="O2123" i="1" s="1"/>
  <c r="N2123" i="1"/>
  <c r="M2123" i="1"/>
  <c r="O2122" i="1"/>
  <c r="O2122" i="1" a="1"/>
  <c r="N2122" i="1"/>
  <c r="M2122" i="1"/>
  <c r="O2121" i="1"/>
  <c r="O2121" i="1" a="1"/>
  <c r="N2121" i="1"/>
  <c r="M2121" i="1"/>
  <c r="O2120" i="1" a="1"/>
  <c r="O2120" i="1" s="1"/>
  <c r="N2120" i="1"/>
  <c r="M2120" i="1"/>
  <c r="O2119" i="1"/>
  <c r="O2119" i="1" a="1"/>
  <c r="N2119" i="1"/>
  <c r="M2119" i="1"/>
  <c r="O2118" i="1"/>
  <c r="O2118" i="1" a="1"/>
  <c r="N2118" i="1"/>
  <c r="M2118" i="1"/>
  <c r="O2117" i="1" a="1"/>
  <c r="O2117" i="1" s="1"/>
  <c r="N2117" i="1"/>
  <c r="M2117" i="1"/>
  <c r="O2116" i="1"/>
  <c r="O2116" i="1" a="1"/>
  <c r="N2116" i="1"/>
  <c r="M2116" i="1"/>
  <c r="O2115" i="1"/>
  <c r="O2115" i="1" a="1"/>
  <c r="N2115" i="1"/>
  <c r="M2115" i="1"/>
  <c r="O2114" i="1" a="1"/>
  <c r="O2114" i="1" s="1"/>
  <c r="N2114" i="1"/>
  <c r="M2114" i="1"/>
  <c r="O2113" i="1"/>
  <c r="O2113" i="1" a="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c r="O2107" i="1" a="1"/>
  <c r="N2107" i="1"/>
  <c r="M2107" i="1"/>
  <c r="O2106" i="1"/>
  <c r="O2106" i="1" a="1"/>
  <c r="N2106" i="1"/>
  <c r="M2106" i="1"/>
  <c r="O2105" i="1" a="1"/>
  <c r="O2105" i="1" s="1"/>
  <c r="N2105" i="1"/>
  <c r="M2105" i="1"/>
  <c r="O2104" i="1"/>
  <c r="O2104" i="1" a="1"/>
  <c r="N2104" i="1"/>
  <c r="M2104" i="1"/>
  <c r="O2103" i="1"/>
  <c r="O2103" i="1" a="1"/>
  <c r="N2103" i="1"/>
  <c r="M2103" i="1"/>
  <c r="O2102" i="1" a="1"/>
  <c r="O2102" i="1" s="1"/>
  <c r="N2102" i="1"/>
  <c r="M2102" i="1"/>
  <c r="O2101" i="1"/>
  <c r="O2101" i="1" a="1"/>
  <c r="N2101" i="1"/>
  <c r="M2101" i="1"/>
  <c r="O2100" i="1"/>
  <c r="O2100" i="1" a="1"/>
  <c r="N2100" i="1"/>
  <c r="M2100" i="1"/>
  <c r="O2099" i="1" a="1"/>
  <c r="O2099" i="1" s="1"/>
  <c r="N2099" i="1"/>
  <c r="M2099" i="1"/>
  <c r="O2098" i="1"/>
  <c r="O2098" i="1" a="1"/>
  <c r="N2098" i="1"/>
  <c r="M2098" i="1"/>
  <c r="O2097" i="1"/>
  <c r="O2097" i="1" a="1"/>
  <c r="N2097" i="1"/>
  <c r="M2097" i="1"/>
  <c r="O2096" i="1" a="1"/>
  <c r="O2096" i="1" s="1"/>
  <c r="N2096" i="1"/>
  <c r="M2096" i="1"/>
  <c r="O2095" i="1"/>
  <c r="O2095" i="1" a="1"/>
  <c r="N2095" i="1"/>
  <c r="M2095" i="1"/>
  <c r="O2094" i="1"/>
  <c r="O2094" i="1" a="1"/>
  <c r="N2094" i="1"/>
  <c r="M2094" i="1"/>
  <c r="O2093" i="1" a="1"/>
  <c r="O2093" i="1" s="1"/>
  <c r="N2093" i="1"/>
  <c r="M2093" i="1"/>
  <c r="O2092" i="1"/>
  <c r="O2092" i="1" a="1"/>
  <c r="N2092" i="1"/>
  <c r="M2092" i="1"/>
  <c r="O2091" i="1"/>
  <c r="O2091" i="1" a="1"/>
  <c r="N2091" i="1"/>
  <c r="M2091" i="1"/>
  <c r="O2090" i="1" a="1"/>
  <c r="O2090" i="1" s="1"/>
  <c r="N2090" i="1"/>
  <c r="M2090" i="1"/>
  <c r="O2089" i="1"/>
  <c r="O2089" i="1" a="1"/>
  <c r="N2089" i="1"/>
  <c r="M2089" i="1"/>
  <c r="O2088" i="1"/>
  <c r="O2088" i="1" a="1"/>
  <c r="N2088" i="1"/>
  <c r="M2088" i="1"/>
  <c r="O2087" i="1" a="1"/>
  <c r="O2087" i="1" s="1"/>
  <c r="N2087" i="1"/>
  <c r="M2087" i="1"/>
  <c r="O2086" i="1"/>
  <c r="O2086" i="1" a="1"/>
  <c r="N2086" i="1"/>
  <c r="M2086" i="1"/>
  <c r="O2085" i="1"/>
  <c r="O2085" i="1" a="1"/>
  <c r="N2085" i="1"/>
  <c r="M2085" i="1"/>
  <c r="O2084" i="1" a="1"/>
  <c r="O2084" i="1" s="1"/>
  <c r="N2084" i="1"/>
  <c r="M2084" i="1"/>
  <c r="O2083" i="1"/>
  <c r="O2083" i="1" a="1"/>
  <c r="N2083" i="1"/>
  <c r="M2083" i="1"/>
  <c r="O2082" i="1"/>
  <c r="O2082" i="1" a="1"/>
  <c r="N2082" i="1"/>
  <c r="M2082" i="1"/>
  <c r="O2081" i="1" a="1"/>
  <c r="O2081" i="1" s="1"/>
  <c r="N2081" i="1"/>
  <c r="M2081" i="1"/>
  <c r="O2080" i="1"/>
  <c r="O2080" i="1" a="1"/>
  <c r="N2080" i="1"/>
  <c r="M2080" i="1"/>
  <c r="O2079" i="1"/>
  <c r="O2079" i="1" a="1"/>
  <c r="N2079" i="1"/>
  <c r="M2079" i="1"/>
  <c r="O2078" i="1" a="1"/>
  <c r="O2078" i="1" s="1"/>
  <c r="N2078" i="1"/>
  <c r="M2078" i="1"/>
  <c r="O2077" i="1"/>
  <c r="O2077" i="1" a="1"/>
  <c r="N2077" i="1"/>
  <c r="M2077" i="1"/>
  <c r="O2076" i="1"/>
  <c r="O2076" i="1" a="1"/>
  <c r="N2076" i="1"/>
  <c r="M2076" i="1"/>
  <c r="O2075" i="1" a="1"/>
  <c r="O2075" i="1" s="1"/>
  <c r="N2075" i="1"/>
  <c r="M2075" i="1"/>
  <c r="O2074" i="1"/>
  <c r="O2074" i="1" a="1"/>
  <c r="N2074" i="1"/>
  <c r="M2074" i="1"/>
  <c r="O2073" i="1"/>
  <c r="O2073" i="1" a="1"/>
  <c r="N2073" i="1"/>
  <c r="M2073" i="1"/>
  <c r="O2072" i="1" a="1"/>
  <c r="O2072" i="1" s="1"/>
  <c r="N2072" i="1"/>
  <c r="M2072" i="1"/>
  <c r="O2071" i="1"/>
  <c r="O2071" i="1" a="1"/>
  <c r="N2071" i="1"/>
  <c r="M2071" i="1"/>
  <c r="O2070" i="1"/>
  <c r="O2070" i="1" a="1"/>
  <c r="N2070" i="1"/>
  <c r="M2070" i="1"/>
  <c r="O2069" i="1" a="1"/>
  <c r="O2069" i="1" s="1"/>
  <c r="N2069" i="1"/>
  <c r="M2069" i="1"/>
  <c r="O2068" i="1"/>
  <c r="O2068" i="1" a="1"/>
  <c r="N2068" i="1"/>
  <c r="M2068" i="1"/>
  <c r="O2067" i="1"/>
  <c r="O2067" i="1" a="1"/>
  <c r="N2067" i="1"/>
  <c r="M2067" i="1"/>
  <c r="O2066" i="1" a="1"/>
  <c r="O2066" i="1" s="1"/>
  <c r="N2066" i="1"/>
  <c r="M2066" i="1"/>
  <c r="O2065" i="1"/>
  <c r="O2065" i="1" a="1"/>
  <c r="N2065" i="1"/>
  <c r="M2065" i="1"/>
  <c r="O2064" i="1"/>
  <c r="O2064" i="1" a="1"/>
  <c r="N2064" i="1"/>
  <c r="M2064" i="1"/>
  <c r="O2063" i="1" a="1"/>
  <c r="O2063" i="1" s="1"/>
  <c r="N2063" i="1"/>
  <c r="M2063" i="1"/>
  <c r="O2062" i="1"/>
  <c r="O2062" i="1" a="1"/>
  <c r="N2062" i="1"/>
  <c r="M2062" i="1"/>
  <c r="O2061" i="1"/>
  <c r="O2061" i="1" a="1"/>
  <c r="N2061" i="1"/>
  <c r="M2061" i="1"/>
  <c r="O2060" i="1" a="1"/>
  <c r="O2060" i="1" s="1"/>
  <c r="N2060" i="1"/>
  <c r="M2060" i="1"/>
  <c r="O2059" i="1"/>
  <c r="O2059" i="1" a="1"/>
  <c r="N2059" i="1"/>
  <c r="M2059" i="1"/>
  <c r="O2058" i="1"/>
  <c r="O2058" i="1" a="1"/>
  <c r="N2058" i="1"/>
  <c r="M2058" i="1"/>
  <c r="O2057" i="1" a="1"/>
  <c r="O2057" i="1" s="1"/>
  <c r="N2057" i="1"/>
  <c r="M2057" i="1"/>
  <c r="O2056" i="1"/>
  <c r="O2056" i="1" a="1"/>
  <c r="N2056" i="1"/>
  <c r="M2056" i="1"/>
  <c r="O2055" i="1"/>
  <c r="O2055" i="1" a="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c r="O2049" i="1" a="1"/>
  <c r="N2049" i="1"/>
  <c r="M2049" i="1"/>
  <c r="O2048" i="1" a="1"/>
  <c r="O2048" i="1" s="1"/>
  <c r="N2048" i="1"/>
  <c r="M2048" i="1"/>
  <c r="O2047" i="1"/>
  <c r="O2047" i="1" a="1"/>
  <c r="N2047" i="1"/>
  <c r="M2047" i="1"/>
  <c r="O2046" i="1"/>
  <c r="O2046" i="1" a="1"/>
  <c r="N2046" i="1"/>
  <c r="M2046" i="1"/>
  <c r="O2045" i="1" a="1"/>
  <c r="O2045" i="1" s="1"/>
  <c r="N2045" i="1"/>
  <c r="M2045" i="1"/>
  <c r="O2044" i="1"/>
  <c r="O2044" i="1" a="1"/>
  <c r="N2044" i="1"/>
  <c r="M2044" i="1"/>
  <c r="O2043" i="1"/>
  <c r="O2043" i="1" a="1"/>
  <c r="N2043" i="1"/>
  <c r="M2043" i="1"/>
  <c r="O2042" i="1" a="1"/>
  <c r="O2042" i="1" s="1"/>
  <c r="N2042" i="1"/>
  <c r="M2042" i="1"/>
  <c r="O2041" i="1"/>
  <c r="O2041" i="1" a="1"/>
  <c r="N2041" i="1"/>
  <c r="M2041" i="1"/>
  <c r="O2040" i="1"/>
  <c r="O2040" i="1" a="1"/>
  <c r="N2040" i="1"/>
  <c r="M2040" i="1"/>
  <c r="O2039" i="1" a="1"/>
  <c r="O2039" i="1" s="1"/>
  <c r="N2039" i="1"/>
  <c r="M2039" i="1"/>
  <c r="O2038" i="1"/>
  <c r="O2038" i="1" a="1"/>
  <c r="N2038" i="1"/>
  <c r="M2038" i="1"/>
  <c r="O2037" i="1"/>
  <c r="O2037" i="1" a="1"/>
  <c r="N2037" i="1"/>
  <c r="M2037" i="1"/>
  <c r="O2036" i="1" a="1"/>
  <c r="O2036" i="1" s="1"/>
  <c r="N2036" i="1"/>
  <c r="M2036" i="1"/>
  <c r="O2035" i="1"/>
  <c r="O2035" i="1" a="1"/>
  <c r="N2035" i="1"/>
  <c r="M2035" i="1"/>
  <c r="O2034" i="1"/>
  <c r="O2034" i="1" a="1"/>
  <c r="N2034" i="1"/>
  <c r="M2034" i="1"/>
  <c r="O2033" i="1" a="1"/>
  <c r="O2033" i="1" s="1"/>
  <c r="N2033" i="1"/>
  <c r="M2033" i="1"/>
  <c r="O2032" i="1"/>
  <c r="O2032" i="1" a="1"/>
  <c r="N2032" i="1"/>
  <c r="M2032" i="1"/>
  <c r="O2031" i="1"/>
  <c r="O2031" i="1" a="1"/>
  <c r="N2031" i="1"/>
  <c r="M2031" i="1"/>
  <c r="O2030" i="1" a="1"/>
  <c r="O2030" i="1" s="1"/>
  <c r="N2030" i="1"/>
  <c r="M2030" i="1"/>
  <c r="O2029" i="1"/>
  <c r="O2029" i="1" a="1"/>
  <c r="N2029" i="1"/>
  <c r="M2029" i="1"/>
  <c r="O2028" i="1"/>
  <c r="O2028" i="1" a="1"/>
  <c r="N2028" i="1"/>
  <c r="M2028" i="1"/>
  <c r="O2027" i="1" a="1"/>
  <c r="O2027" i="1" s="1"/>
  <c r="N2027" i="1"/>
  <c r="M2027" i="1"/>
  <c r="O2026" i="1"/>
  <c r="O2026" i="1" a="1"/>
  <c r="N2026" i="1"/>
  <c r="M2026" i="1"/>
  <c r="O2025" i="1"/>
  <c r="O2025" i="1" a="1"/>
  <c r="N2025" i="1"/>
  <c r="M2025" i="1"/>
  <c r="O2024" i="1" a="1"/>
  <c r="O2024" i="1" s="1"/>
  <c r="N2024" i="1"/>
  <c r="M2024" i="1"/>
  <c r="O2023" i="1"/>
  <c r="O2023" i="1" a="1"/>
  <c r="N2023" i="1"/>
  <c r="M2023" i="1"/>
  <c r="O2022" i="1"/>
  <c r="O2022" i="1" a="1"/>
  <c r="N2022" i="1"/>
  <c r="M2022" i="1"/>
  <c r="O2021" i="1" a="1"/>
  <c r="O2021" i="1" s="1"/>
  <c r="N2021" i="1"/>
  <c r="M2021" i="1"/>
  <c r="O2020" i="1"/>
  <c r="O2020" i="1" a="1"/>
  <c r="N2020" i="1"/>
  <c r="M2020" i="1"/>
  <c r="O2019" i="1"/>
  <c r="O2019" i="1" a="1"/>
  <c r="N2019" i="1"/>
  <c r="M2019" i="1"/>
  <c r="O2018" i="1" a="1"/>
  <c r="O2018" i="1" s="1"/>
  <c r="N2018" i="1"/>
  <c r="M2018" i="1"/>
  <c r="O2017" i="1"/>
  <c r="O2017" i="1" a="1"/>
  <c r="N2017" i="1"/>
  <c r="M2017" i="1"/>
  <c r="O2016" i="1"/>
  <c r="O2016" i="1" a="1"/>
  <c r="N2016" i="1"/>
  <c r="M2016" i="1"/>
  <c r="O2015" i="1" a="1"/>
  <c r="O2015" i="1" s="1"/>
  <c r="N2015" i="1"/>
  <c r="M2015" i="1"/>
  <c r="O2014" i="1"/>
  <c r="O2014" i="1" a="1"/>
  <c r="N2014" i="1"/>
  <c r="M2014" i="1"/>
  <c r="O2013" i="1"/>
  <c r="O2013" i="1" a="1"/>
  <c r="N2013" i="1"/>
  <c r="M2013" i="1"/>
  <c r="O2012" i="1" a="1"/>
  <c r="O2012" i="1" s="1"/>
  <c r="N2012" i="1"/>
  <c r="M2012" i="1"/>
  <c r="O2011" i="1"/>
  <c r="O2011" i="1" a="1"/>
  <c r="N2011" i="1"/>
  <c r="M2011" i="1"/>
  <c r="O2010" i="1"/>
  <c r="O2010" i="1" a="1"/>
  <c r="N2010" i="1"/>
  <c r="M2010" i="1"/>
  <c r="O2009" i="1" a="1"/>
  <c r="O2009" i="1" s="1"/>
  <c r="N2009" i="1"/>
  <c r="M2009" i="1"/>
  <c r="O2008" i="1"/>
  <c r="O2008" i="1" a="1"/>
  <c r="N2008" i="1"/>
  <c r="M2008" i="1"/>
  <c r="O2007" i="1"/>
  <c r="O2007" i="1" a="1"/>
  <c r="N2007" i="1"/>
  <c r="M2007" i="1"/>
  <c r="O2006" i="1" a="1"/>
  <c r="O2006" i="1" s="1"/>
  <c r="N2006" i="1"/>
  <c r="M2006" i="1"/>
  <c r="O2005" i="1"/>
  <c r="O2005" i="1" a="1"/>
  <c r="N2005" i="1"/>
  <c r="M2005" i="1"/>
  <c r="O2004" i="1"/>
  <c r="O2004" i="1" a="1"/>
  <c r="N2004" i="1"/>
  <c r="M2004" i="1"/>
  <c r="O2003" i="1" a="1"/>
  <c r="O2003" i="1" s="1"/>
  <c r="N2003" i="1"/>
  <c r="M2003" i="1"/>
  <c r="O2002" i="1"/>
  <c r="O2002" i="1" a="1"/>
  <c r="N2002" i="1"/>
  <c r="M2002" i="1"/>
  <c r="O2001" i="1"/>
  <c r="O2001" i="1" a="1"/>
  <c r="N2001" i="1"/>
  <c r="M2001" i="1"/>
  <c r="O2000" i="1" a="1"/>
  <c r="O2000" i="1" s="1"/>
  <c r="N2000" i="1"/>
  <c r="M2000" i="1"/>
  <c r="O1999" i="1"/>
  <c r="O1999" i="1" a="1"/>
  <c r="N1999" i="1"/>
  <c r="M1999" i="1"/>
  <c r="O1998" i="1"/>
  <c r="O1998" i="1" a="1"/>
  <c r="N1998" i="1"/>
  <c r="M1998" i="1"/>
  <c r="O1997" i="1" a="1"/>
  <c r="O1997" i="1" s="1"/>
  <c r="N1997" i="1"/>
  <c r="M1997" i="1"/>
  <c r="O1996" i="1"/>
  <c r="O1996" i="1" a="1"/>
  <c r="N1996" i="1"/>
  <c r="M1996" i="1"/>
  <c r="O1995" i="1"/>
  <c r="O1995" i="1" a="1"/>
  <c r="N1995" i="1"/>
  <c r="M1995" i="1"/>
  <c r="O1994" i="1" a="1"/>
  <c r="O1994" i="1" s="1"/>
  <c r="N1994" i="1"/>
  <c r="M1994" i="1"/>
  <c r="O1993" i="1"/>
  <c r="O1993" i="1" a="1"/>
  <c r="N1993" i="1"/>
  <c r="M1993" i="1"/>
  <c r="O1992" i="1"/>
  <c r="O1992" i="1" a="1"/>
  <c r="N1992" i="1"/>
  <c r="M1992" i="1"/>
  <c r="O1991" i="1" a="1"/>
  <c r="O1991" i="1" s="1"/>
  <c r="N1991" i="1"/>
  <c r="M1991" i="1"/>
  <c r="O1990" i="1"/>
  <c r="O1990" i="1" a="1"/>
  <c r="N1990" i="1"/>
  <c r="M1990" i="1"/>
  <c r="O1989" i="1"/>
  <c r="O1989" i="1" a="1"/>
  <c r="N1989" i="1"/>
  <c r="M1989" i="1"/>
  <c r="O1988" i="1" a="1"/>
  <c r="O1988" i="1" s="1"/>
  <c r="N1988" i="1"/>
  <c r="M1988" i="1"/>
  <c r="O1987" i="1"/>
  <c r="O1987" i="1" a="1"/>
  <c r="N1987" i="1"/>
  <c r="M1987" i="1"/>
  <c r="O1986" i="1"/>
  <c r="O1986" i="1" a="1"/>
  <c r="N1986" i="1"/>
  <c r="M1986" i="1"/>
  <c r="O1985" i="1" a="1"/>
  <c r="O1985" i="1" s="1"/>
  <c r="N1985" i="1"/>
  <c r="M1985" i="1"/>
  <c r="O1984" i="1"/>
  <c r="O1984" i="1" a="1"/>
  <c r="N1984" i="1"/>
  <c r="M1984" i="1"/>
  <c r="O1983" i="1"/>
  <c r="O1983" i="1" a="1"/>
  <c r="N1983" i="1"/>
  <c r="M1983" i="1"/>
  <c r="O1982" i="1" a="1"/>
  <c r="O1982" i="1" s="1"/>
  <c r="N1982" i="1"/>
  <c r="M1982" i="1"/>
  <c r="O1981" i="1"/>
  <c r="O1981" i="1" a="1"/>
  <c r="N1981" i="1"/>
  <c r="M1981" i="1"/>
  <c r="O1980" i="1"/>
  <c r="O1980" i="1" a="1"/>
  <c r="N1980" i="1"/>
  <c r="M1980" i="1"/>
  <c r="O1979" i="1" a="1"/>
  <c r="O1979" i="1" s="1"/>
  <c r="N1979" i="1"/>
  <c r="M1979" i="1"/>
  <c r="O1978" i="1"/>
  <c r="O1978" i="1" a="1"/>
  <c r="N1978" i="1"/>
  <c r="M1978" i="1"/>
  <c r="O1977" i="1"/>
  <c r="O1977" i="1" a="1"/>
  <c r="N1977" i="1"/>
  <c r="M1977" i="1"/>
  <c r="O1976" i="1" a="1"/>
  <c r="O1976" i="1" s="1"/>
  <c r="N1976" i="1"/>
  <c r="M1976" i="1"/>
  <c r="O1975" i="1"/>
  <c r="O1975" i="1" a="1"/>
  <c r="N1975" i="1"/>
  <c r="M1975" i="1"/>
  <c r="O1974" i="1"/>
  <c r="O1974" i="1" a="1"/>
  <c r="N1974" i="1"/>
  <c r="M1974" i="1"/>
  <c r="O1973" i="1" a="1"/>
  <c r="O1973" i="1" s="1"/>
  <c r="N1973" i="1"/>
  <c r="M1973" i="1"/>
  <c r="O1972" i="1"/>
  <c r="O1972" i="1" a="1"/>
  <c r="N1972" i="1"/>
  <c r="M1972" i="1"/>
  <c r="O1971" i="1"/>
  <c r="O1971" i="1" a="1"/>
  <c r="N1971" i="1"/>
  <c r="M1971" i="1"/>
  <c r="O1970" i="1" a="1"/>
  <c r="O1970" i="1" s="1"/>
  <c r="N1970" i="1"/>
  <c r="M1970" i="1"/>
  <c r="O1969" i="1"/>
  <c r="O1969" i="1" a="1"/>
  <c r="N1969" i="1"/>
  <c r="M1969" i="1"/>
  <c r="O1968" i="1"/>
  <c r="O1968" i="1" a="1"/>
  <c r="N1968" i="1"/>
  <c r="M1968" i="1"/>
  <c r="O1967" i="1" a="1"/>
  <c r="O1967" i="1" s="1"/>
  <c r="N1967" i="1"/>
  <c r="M1967" i="1"/>
  <c r="O1966" i="1"/>
  <c r="O1966" i="1" a="1"/>
  <c r="N1966" i="1"/>
  <c r="M1966" i="1"/>
  <c r="O1965" i="1"/>
  <c r="O1965" i="1" a="1"/>
  <c r="N1965" i="1"/>
  <c r="M1965" i="1"/>
  <c r="O1964" i="1" a="1"/>
  <c r="O1964" i="1" s="1"/>
  <c r="N1964" i="1"/>
  <c r="M1964" i="1"/>
  <c r="O1963" i="1"/>
  <c r="O1963" i="1" a="1"/>
  <c r="N1963" i="1"/>
  <c r="M1963" i="1"/>
  <c r="O1962" i="1"/>
  <c r="O1962" i="1" a="1"/>
  <c r="N1962" i="1"/>
  <c r="M1962" i="1"/>
  <c r="O1961" i="1" a="1"/>
  <c r="O1961" i="1" s="1"/>
  <c r="N1961" i="1"/>
  <c r="M1961" i="1"/>
  <c r="O1960" i="1"/>
  <c r="O1960" i="1" a="1"/>
  <c r="N1960" i="1"/>
  <c r="M1960" i="1"/>
  <c r="O1959" i="1"/>
  <c r="O1959" i="1" a="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c r="O1953" i="1" a="1"/>
  <c r="N1953" i="1"/>
  <c r="M1953" i="1"/>
  <c r="O1952" i="1" a="1"/>
  <c r="O1952" i="1" s="1"/>
  <c r="N1952" i="1"/>
  <c r="M1952" i="1"/>
  <c r="O1951" i="1"/>
  <c r="O1951" i="1" a="1"/>
  <c r="N1951" i="1"/>
  <c r="M1951" i="1"/>
  <c r="O1950" i="1"/>
  <c r="O1950" i="1" a="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a="1"/>
  <c r="O1943" i="1" s="1"/>
  <c r="N1943" i="1"/>
  <c r="M1943" i="1"/>
  <c r="O1942" i="1"/>
  <c r="O1942" i="1" a="1"/>
  <c r="N1942" i="1"/>
  <c r="M1942" i="1"/>
  <c r="O1941" i="1"/>
  <c r="O1941" i="1" a="1"/>
  <c r="N1941" i="1"/>
  <c r="M1941" i="1"/>
  <c r="O1940" i="1" a="1"/>
  <c r="O1940" i="1" s="1"/>
  <c r="N1940" i="1"/>
  <c r="M1940" i="1"/>
  <c r="O1939" i="1"/>
  <c r="O1939" i="1" a="1"/>
  <c r="N1939" i="1"/>
  <c r="M1939" i="1"/>
  <c r="O1938" i="1"/>
  <c r="O1938" i="1" a="1"/>
  <c r="N1938" i="1"/>
  <c r="M1938" i="1"/>
  <c r="O1937" i="1" a="1"/>
  <c r="O1937" i="1" s="1"/>
  <c r="N1937" i="1"/>
  <c r="M1937" i="1"/>
  <c r="O1936" i="1"/>
  <c r="O1936" i="1" a="1"/>
  <c r="N1936" i="1"/>
  <c r="M1936" i="1"/>
  <c r="O1935" i="1"/>
  <c r="O1935" i="1" a="1"/>
  <c r="N1935" i="1"/>
  <c r="M1935" i="1"/>
  <c r="O1934" i="1" a="1"/>
  <c r="O1934" i="1" s="1"/>
  <c r="N1934" i="1"/>
  <c r="M1934" i="1"/>
  <c r="O1933" i="1"/>
  <c r="O1933" i="1" a="1"/>
  <c r="N1933" i="1"/>
  <c r="M1933" i="1"/>
  <c r="O1932" i="1"/>
  <c r="O1932" i="1" a="1"/>
  <c r="N1932" i="1"/>
  <c r="M1932" i="1"/>
  <c r="O1931" i="1" a="1"/>
  <c r="O1931" i="1" s="1"/>
  <c r="N1931" i="1"/>
  <c r="M1931" i="1"/>
  <c r="O1930" i="1"/>
  <c r="O1930" i="1" a="1"/>
  <c r="N1930" i="1"/>
  <c r="M1930" i="1"/>
  <c r="O1929" i="1"/>
  <c r="O1929" i="1" a="1"/>
  <c r="N1929" i="1"/>
  <c r="M1929" i="1"/>
  <c r="O1928" i="1" a="1"/>
  <c r="O1928" i="1" s="1"/>
  <c r="N1928" i="1"/>
  <c r="M1928" i="1"/>
  <c r="O1927" i="1"/>
  <c r="O1927" i="1" a="1"/>
  <c r="N1927" i="1"/>
  <c r="M1927" i="1"/>
  <c r="O1926" i="1"/>
  <c r="O1926" i="1" a="1"/>
  <c r="N1926" i="1"/>
  <c r="M1926" i="1"/>
  <c r="O1925" i="1" a="1"/>
  <c r="O1925" i="1" s="1"/>
  <c r="N1925" i="1"/>
  <c r="M1925" i="1"/>
  <c r="O1924" i="1"/>
  <c r="O1924" i="1" a="1"/>
  <c r="N1924" i="1"/>
  <c r="M1924" i="1"/>
  <c r="O1923" i="1"/>
  <c r="O1923" i="1" a="1"/>
  <c r="N1923" i="1"/>
  <c r="M1923" i="1"/>
  <c r="O1922" i="1" a="1"/>
  <c r="O1922" i="1" s="1"/>
  <c r="N1922" i="1"/>
  <c r="M1922" i="1"/>
  <c r="O1921" i="1"/>
  <c r="O1921" i="1" a="1"/>
  <c r="N1921" i="1"/>
  <c r="M1921" i="1"/>
  <c r="O1920" i="1"/>
  <c r="O1920" i="1" a="1"/>
  <c r="N1920" i="1"/>
  <c r="M1920" i="1"/>
  <c r="O1919" i="1" a="1"/>
  <c r="O1919" i="1" s="1"/>
  <c r="N1919" i="1"/>
  <c r="M1919" i="1"/>
  <c r="O1918" i="1"/>
  <c r="O1918" i="1" a="1"/>
  <c r="N1918" i="1"/>
  <c r="M1918" i="1"/>
  <c r="O1917" i="1"/>
  <c r="O1917" i="1" a="1"/>
  <c r="N1917" i="1"/>
  <c r="M1917" i="1"/>
  <c r="O1916" i="1" a="1"/>
  <c r="O1916" i="1" s="1"/>
  <c r="N1916" i="1"/>
  <c r="M1916" i="1"/>
  <c r="O1915" i="1"/>
  <c r="O1915" i="1" a="1"/>
  <c r="N1915" i="1"/>
  <c r="M1915" i="1"/>
  <c r="O1914" i="1"/>
  <c r="O1914" i="1" a="1"/>
  <c r="N1914" i="1"/>
  <c r="M1914" i="1"/>
  <c r="O1913" i="1" a="1"/>
  <c r="O1913" i="1" s="1"/>
  <c r="N1913" i="1"/>
  <c r="M1913" i="1"/>
  <c r="O1912" i="1"/>
  <c r="O1912" i="1" a="1"/>
  <c r="N1912" i="1"/>
  <c r="M1912" i="1"/>
  <c r="O1911" i="1"/>
  <c r="O1911" i="1" a="1"/>
  <c r="N1911" i="1"/>
  <c r="M1911" i="1"/>
  <c r="O1910" i="1" a="1"/>
  <c r="O1910" i="1" s="1"/>
  <c r="N1910" i="1"/>
  <c r="M1910" i="1"/>
  <c r="O1909" i="1"/>
  <c r="O1909" i="1" a="1"/>
  <c r="N1909" i="1"/>
  <c r="M1909" i="1"/>
  <c r="O1908" i="1"/>
  <c r="O1908" i="1" a="1"/>
  <c r="N1908" i="1"/>
  <c r="M1908" i="1"/>
  <c r="O1907" i="1" a="1"/>
  <c r="O1907" i="1" s="1"/>
  <c r="N1907" i="1"/>
  <c r="M1907" i="1"/>
  <c r="O1906" i="1"/>
  <c r="O1906" i="1" a="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c r="O1900" i="1" a="1"/>
  <c r="N1900" i="1"/>
  <c r="M1900" i="1"/>
  <c r="O1899" i="1"/>
  <c r="O1899" i="1" a="1"/>
  <c r="N1899" i="1"/>
  <c r="M1899" i="1"/>
  <c r="O1898" i="1" a="1"/>
  <c r="O1898" i="1" s="1"/>
  <c r="N1898" i="1"/>
  <c r="M1898" i="1"/>
  <c r="O1897" i="1"/>
  <c r="O1897" i="1" a="1"/>
  <c r="N1897" i="1"/>
  <c r="M1897" i="1"/>
  <c r="O1896" i="1"/>
  <c r="O1896" i="1" a="1"/>
  <c r="N1896" i="1"/>
  <c r="M1896" i="1"/>
  <c r="O1895" i="1" a="1"/>
  <c r="O1895" i="1" s="1"/>
  <c r="N1895" i="1"/>
  <c r="M1895" i="1"/>
  <c r="O1894" i="1"/>
  <c r="O1894" i="1" a="1"/>
  <c r="N1894" i="1"/>
  <c r="M1894" i="1"/>
  <c r="O1893" i="1"/>
  <c r="O1893" i="1" a="1"/>
  <c r="N1893" i="1"/>
  <c r="M1893" i="1"/>
  <c r="O1892" i="1" a="1"/>
  <c r="O1892" i="1" s="1"/>
  <c r="N1892" i="1"/>
  <c r="M1892" i="1"/>
  <c r="O1891" i="1"/>
  <c r="O1891" i="1" a="1"/>
  <c r="N1891" i="1"/>
  <c r="M1891" i="1"/>
  <c r="O1890" i="1"/>
  <c r="O1890" i="1" a="1"/>
  <c r="N1890" i="1"/>
  <c r="M1890" i="1"/>
  <c r="O1889" i="1" a="1"/>
  <c r="O1889" i="1" s="1"/>
  <c r="N1889" i="1"/>
  <c r="M1889" i="1"/>
  <c r="O1888" i="1"/>
  <c r="O1888" i="1" a="1"/>
  <c r="N1888" i="1"/>
  <c r="M1888" i="1"/>
  <c r="O1887" i="1"/>
  <c r="O1887" i="1" a="1"/>
  <c r="N1887" i="1"/>
  <c r="M1887" i="1"/>
  <c r="O1886" i="1" a="1"/>
  <c r="O1886" i="1" s="1"/>
  <c r="N1886" i="1"/>
  <c r="M1886" i="1"/>
  <c r="O1885" i="1"/>
  <c r="O1885" i="1" a="1"/>
  <c r="N1885" i="1"/>
  <c r="M1885" i="1"/>
  <c r="O1884" i="1"/>
  <c r="O1884" i="1" a="1"/>
  <c r="N1884" i="1"/>
  <c r="M1884" i="1"/>
  <c r="O1883" i="1" a="1"/>
  <c r="O1883" i="1" s="1"/>
  <c r="N1883" i="1"/>
  <c r="M1883" i="1"/>
  <c r="O1882" i="1"/>
  <c r="O1882" i="1" a="1"/>
  <c r="N1882" i="1"/>
  <c r="M1882" i="1"/>
  <c r="O1881" i="1"/>
  <c r="O1881" i="1" a="1"/>
  <c r="N1881" i="1"/>
  <c r="M1881" i="1"/>
  <c r="O1880" i="1" a="1"/>
  <c r="O1880" i="1" s="1"/>
  <c r="N1880" i="1"/>
  <c r="M1880" i="1"/>
  <c r="O1879" i="1"/>
  <c r="O1879" i="1" a="1"/>
  <c r="N1879" i="1"/>
  <c r="M1879" i="1"/>
  <c r="O1878" i="1"/>
  <c r="O1878" i="1" a="1"/>
  <c r="N1878" i="1"/>
  <c r="M1878" i="1"/>
  <c r="O1877" i="1" a="1"/>
  <c r="O1877" i="1" s="1"/>
  <c r="N1877" i="1"/>
  <c r="M1877" i="1"/>
  <c r="O1876" i="1"/>
  <c r="O1876" i="1" a="1"/>
  <c r="N1876" i="1"/>
  <c r="M1876" i="1"/>
  <c r="O1875" i="1"/>
  <c r="O1875" i="1" a="1"/>
  <c r="N1875" i="1"/>
  <c r="M1875" i="1"/>
  <c r="O1874" i="1" a="1"/>
  <c r="O1874" i="1" s="1"/>
  <c r="N1874" i="1"/>
  <c r="M1874" i="1"/>
  <c r="O1873" i="1"/>
  <c r="O1873" i="1" a="1"/>
  <c r="N1873" i="1"/>
  <c r="M1873" i="1"/>
  <c r="O1872" i="1"/>
  <c r="O1872" i="1" a="1"/>
  <c r="N1872" i="1"/>
  <c r="M1872" i="1"/>
  <c r="O1871" i="1" a="1"/>
  <c r="O1871" i="1" s="1"/>
  <c r="N1871" i="1"/>
  <c r="M1871" i="1"/>
  <c r="O1870" i="1"/>
  <c r="O1870" i="1" a="1"/>
  <c r="N1870" i="1"/>
  <c r="M1870" i="1"/>
  <c r="O1869" i="1"/>
  <c r="O1869" i="1" a="1"/>
  <c r="N1869" i="1"/>
  <c r="M1869" i="1"/>
  <c r="O1868" i="1" a="1"/>
  <c r="O1868" i="1" s="1"/>
  <c r="N1868" i="1"/>
  <c r="M1868" i="1"/>
  <c r="O1867" i="1"/>
  <c r="O1867" i="1" a="1"/>
  <c r="N1867" i="1"/>
  <c r="M1867" i="1"/>
  <c r="O1866" i="1"/>
  <c r="O1866" i="1" a="1"/>
  <c r="N1866" i="1"/>
  <c r="M1866" i="1"/>
  <c r="O1865" i="1" a="1"/>
  <c r="O1865" i="1" s="1"/>
  <c r="N1865" i="1"/>
  <c r="M1865" i="1"/>
  <c r="O1864" i="1"/>
  <c r="O1864" i="1" a="1"/>
  <c r="N1864" i="1"/>
  <c r="M1864" i="1"/>
  <c r="O1863" i="1"/>
  <c r="O1863" i="1" a="1"/>
  <c r="N1863" i="1"/>
  <c r="M1863" i="1"/>
  <c r="O1862" i="1" a="1"/>
  <c r="O1862" i="1" s="1"/>
  <c r="N1862" i="1"/>
  <c r="M1862" i="1"/>
  <c r="O1861" i="1"/>
  <c r="O1861" i="1" a="1"/>
  <c r="N1861" i="1"/>
  <c r="M1861" i="1"/>
  <c r="O1860" i="1"/>
  <c r="O1860" i="1" a="1"/>
  <c r="N1860" i="1"/>
  <c r="M1860" i="1"/>
  <c r="O1859" i="1" a="1"/>
  <c r="O1859" i="1" s="1"/>
  <c r="N1859" i="1"/>
  <c r="M1859" i="1"/>
  <c r="O1858" i="1"/>
  <c r="O1858" i="1" a="1"/>
  <c r="N1858" i="1"/>
  <c r="M1858" i="1"/>
  <c r="O1857" i="1"/>
  <c r="O1857" i="1" a="1"/>
  <c r="N1857" i="1"/>
  <c r="M1857" i="1"/>
  <c r="O1856" i="1" a="1"/>
  <c r="O1856" i="1" s="1"/>
  <c r="N1856" i="1"/>
  <c r="M1856" i="1"/>
  <c r="O1855" i="1"/>
  <c r="O1855" i="1" a="1"/>
  <c r="N1855" i="1"/>
  <c r="M1855" i="1"/>
  <c r="O1854" i="1"/>
  <c r="O1854" i="1" a="1"/>
  <c r="N1854" i="1"/>
  <c r="M1854" i="1"/>
  <c r="O1853" i="1" a="1"/>
  <c r="O1853" i="1" s="1"/>
  <c r="N1853" i="1"/>
  <c r="M1853" i="1"/>
  <c r="O1852" i="1"/>
  <c r="O1852" i="1" a="1"/>
  <c r="N1852" i="1"/>
  <c r="M1852" i="1"/>
  <c r="O1851" i="1"/>
  <c r="O1851" i="1" a="1"/>
  <c r="N1851" i="1"/>
  <c r="M1851" i="1"/>
  <c r="O1850" i="1" a="1"/>
  <c r="O1850" i="1" s="1"/>
  <c r="N1850" i="1"/>
  <c r="M1850" i="1"/>
  <c r="O1849" i="1"/>
  <c r="O1849" i="1" a="1"/>
  <c r="N1849" i="1"/>
  <c r="M1849" i="1"/>
  <c r="O1848" i="1"/>
  <c r="O1848" i="1" a="1"/>
  <c r="N1848" i="1"/>
  <c r="M1848" i="1"/>
  <c r="O1847" i="1" a="1"/>
  <c r="O1847" i="1" s="1"/>
  <c r="N1847" i="1"/>
  <c r="M1847" i="1"/>
  <c r="O1846" i="1"/>
  <c r="O1846" i="1" a="1"/>
  <c r="N1846" i="1"/>
  <c r="M1846" i="1"/>
  <c r="O1845" i="1"/>
  <c r="O1845" i="1" a="1"/>
  <c r="N1845" i="1"/>
  <c r="M1845" i="1"/>
  <c r="O1844" i="1" a="1"/>
  <c r="O1844" i="1" s="1"/>
  <c r="N1844" i="1"/>
  <c r="M1844" i="1"/>
  <c r="O1843" i="1"/>
  <c r="O1843" i="1" a="1"/>
  <c r="N1843" i="1"/>
  <c r="M1843" i="1"/>
  <c r="O1842" i="1"/>
  <c r="O1842" i="1" a="1"/>
  <c r="N1842" i="1"/>
  <c r="M1842" i="1"/>
  <c r="O1841" i="1" a="1"/>
  <c r="O1841" i="1" s="1"/>
  <c r="N1841" i="1"/>
  <c r="M1841" i="1"/>
  <c r="O1840" i="1"/>
  <c r="O1840" i="1" a="1"/>
  <c r="N1840" i="1"/>
  <c r="M1840" i="1"/>
  <c r="O1839" i="1"/>
  <c r="O1839" i="1" a="1"/>
  <c r="N1839" i="1"/>
  <c r="M1839" i="1"/>
  <c r="O1838" i="1" a="1"/>
  <c r="O1838" i="1" s="1"/>
  <c r="N1838" i="1"/>
  <c r="M1838" i="1"/>
  <c r="O1837" i="1"/>
  <c r="O1837" i="1" a="1"/>
  <c r="N1837" i="1"/>
  <c r="M1837" i="1"/>
  <c r="O1836" i="1"/>
  <c r="O1836" i="1" a="1"/>
  <c r="N1836" i="1"/>
  <c r="M1836" i="1"/>
  <c r="O1835" i="1" a="1"/>
  <c r="O1835" i="1" s="1"/>
  <c r="N1835" i="1"/>
  <c r="M1835" i="1"/>
  <c r="O1834" i="1"/>
  <c r="O1834" i="1" a="1"/>
  <c r="N1834" i="1"/>
  <c r="M1834" i="1"/>
  <c r="O1833" i="1"/>
  <c r="O1833" i="1" a="1"/>
  <c r="N1833" i="1"/>
  <c r="M1833" i="1"/>
  <c r="O1832" i="1" a="1"/>
  <c r="O1832" i="1" s="1"/>
  <c r="N1832" i="1"/>
  <c r="M1832" i="1"/>
  <c r="O1831" i="1"/>
  <c r="O1831" i="1" a="1"/>
  <c r="N1831" i="1"/>
  <c r="M1831" i="1"/>
  <c r="O1830" i="1"/>
  <c r="O1830" i="1" a="1"/>
  <c r="N1830" i="1"/>
  <c r="M1830" i="1"/>
  <c r="O1829" i="1" a="1"/>
  <c r="O1829" i="1" s="1"/>
  <c r="N1829" i="1"/>
  <c r="M1829" i="1"/>
  <c r="O1828" i="1"/>
  <c r="O1828" i="1" a="1"/>
  <c r="N1828" i="1"/>
  <c r="M1828" i="1"/>
  <c r="O1827" i="1"/>
  <c r="O1827" i="1" a="1"/>
  <c r="N1827" i="1"/>
  <c r="M1827" i="1"/>
  <c r="O1826" i="1" a="1"/>
  <c r="O1826" i="1" s="1"/>
  <c r="N1826" i="1"/>
  <c r="M1826" i="1"/>
  <c r="O1825" i="1"/>
  <c r="O1825" i="1" a="1"/>
  <c r="N1825" i="1"/>
  <c r="M1825" i="1"/>
  <c r="O1824" i="1"/>
  <c r="O1824" i="1" a="1"/>
  <c r="N1824" i="1"/>
  <c r="M1824" i="1"/>
  <c r="O1823" i="1" a="1"/>
  <c r="O1823" i="1" s="1"/>
  <c r="N1823" i="1"/>
  <c r="M1823" i="1"/>
  <c r="O1822" i="1"/>
  <c r="O1822" i="1" a="1"/>
  <c r="N1822" i="1"/>
  <c r="M1822" i="1"/>
  <c r="O1821" i="1"/>
  <c r="O1821" i="1" a="1"/>
  <c r="N1821" i="1"/>
  <c r="M1821" i="1"/>
  <c r="O1820" i="1" a="1"/>
  <c r="O1820" i="1" s="1"/>
  <c r="N1820" i="1"/>
  <c r="M1820" i="1"/>
  <c r="O1819" i="1"/>
  <c r="O1819" i="1" a="1"/>
  <c r="N1819" i="1"/>
  <c r="M1819" i="1"/>
  <c r="O1818" i="1"/>
  <c r="O1818" i="1" a="1"/>
  <c r="N1818" i="1"/>
  <c r="M1818" i="1"/>
  <c r="O1817" i="1" a="1"/>
  <c r="O1817" i="1" s="1"/>
  <c r="N1817" i="1"/>
  <c r="M1817" i="1"/>
  <c r="O1816" i="1"/>
  <c r="O1816" i="1" a="1"/>
  <c r="N1816" i="1"/>
  <c r="M1816" i="1"/>
  <c r="O1815" i="1"/>
  <c r="O1815" i="1" a="1"/>
  <c r="N1815" i="1"/>
  <c r="M1815" i="1"/>
  <c r="O1814" i="1" a="1"/>
  <c r="O1814" i="1" s="1"/>
  <c r="N1814" i="1"/>
  <c r="M1814" i="1"/>
  <c r="O1813" i="1"/>
  <c r="O1813" i="1" a="1"/>
  <c r="N1813" i="1"/>
  <c r="M1813" i="1"/>
  <c r="O1812" i="1"/>
  <c r="O1812" i="1" a="1"/>
  <c r="N1812" i="1"/>
  <c r="M1812" i="1"/>
  <c r="O1811" i="1" a="1"/>
  <c r="O1811" i="1" s="1"/>
  <c r="N1811" i="1"/>
  <c r="M1811" i="1"/>
  <c r="O1810" i="1"/>
  <c r="O1810" i="1" a="1"/>
  <c r="N1810" i="1"/>
  <c r="M1810" i="1"/>
  <c r="O1809" i="1"/>
  <c r="O1809" i="1" a="1"/>
  <c r="N1809" i="1"/>
  <c r="M1809" i="1"/>
  <c r="O1808" i="1" a="1"/>
  <c r="O1808" i="1" s="1"/>
  <c r="N1808" i="1"/>
  <c r="M1808" i="1"/>
  <c r="O1807" i="1"/>
  <c r="O1807" i="1" a="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c r="O1800" i="1" a="1"/>
  <c r="N1800" i="1"/>
  <c r="M1800" i="1"/>
  <c r="O1799" i="1" a="1"/>
  <c r="O1799" i="1" s="1"/>
  <c r="N1799" i="1"/>
  <c r="M1799" i="1"/>
  <c r="O1798" i="1"/>
  <c r="O1798" i="1" a="1"/>
  <c r="N1798" i="1"/>
  <c r="M1798" i="1"/>
  <c r="O1797" i="1"/>
  <c r="O1797" i="1" a="1"/>
  <c r="N1797" i="1"/>
  <c r="M1797" i="1"/>
  <c r="O1796" i="1" a="1"/>
  <c r="O1796" i="1" s="1"/>
  <c r="N1796" i="1"/>
  <c r="M1796" i="1"/>
  <c r="O1795" i="1"/>
  <c r="O1795" i="1" a="1"/>
  <c r="N1795" i="1"/>
  <c r="M1795" i="1"/>
  <c r="O1794" i="1"/>
  <c r="O1794" i="1" a="1"/>
  <c r="N1794" i="1"/>
  <c r="M1794" i="1"/>
  <c r="O1793" i="1" a="1"/>
  <c r="O1793" i="1" s="1"/>
  <c r="N1793" i="1"/>
  <c r="M1793" i="1"/>
  <c r="O1792" i="1"/>
  <c r="O1792" i="1" a="1"/>
  <c r="N1792" i="1"/>
  <c r="M1792" i="1"/>
  <c r="O1791" i="1"/>
  <c r="O1791" i="1" a="1"/>
  <c r="N1791" i="1"/>
  <c r="M1791" i="1"/>
  <c r="O1790" i="1" a="1"/>
  <c r="O1790" i="1" s="1"/>
  <c r="N1790" i="1"/>
  <c r="M1790" i="1"/>
  <c r="O1789" i="1"/>
  <c r="O1789" i="1" a="1"/>
  <c r="N1789" i="1"/>
  <c r="M1789" i="1"/>
  <c r="O1788" i="1"/>
  <c r="O1788" i="1" a="1"/>
  <c r="N1788" i="1"/>
  <c r="M1788" i="1"/>
  <c r="O1787" i="1" a="1"/>
  <c r="O1787" i="1" s="1"/>
  <c r="N1787" i="1"/>
  <c r="M1787" i="1"/>
  <c r="O1786" i="1"/>
  <c r="O1786" i="1" a="1"/>
  <c r="N1786" i="1"/>
  <c r="M1786" i="1"/>
  <c r="O1785" i="1"/>
  <c r="O1785" i="1" a="1"/>
  <c r="N1785" i="1"/>
  <c r="M1785" i="1"/>
  <c r="O1784" i="1" a="1"/>
  <c r="O1784" i="1" s="1"/>
  <c r="N1784" i="1"/>
  <c r="M1784" i="1"/>
  <c r="O1783" i="1"/>
  <c r="O1783" i="1" a="1"/>
  <c r="N1783" i="1"/>
  <c r="M1783" i="1"/>
  <c r="O1782" i="1"/>
  <c r="O1782" i="1" a="1"/>
  <c r="N1782" i="1"/>
  <c r="M1782" i="1"/>
  <c r="O1781" i="1" a="1"/>
  <c r="O1781" i="1" s="1"/>
  <c r="N1781" i="1"/>
  <c r="M1781" i="1"/>
  <c r="O1780" i="1"/>
  <c r="O1780" i="1" a="1"/>
  <c r="N1780" i="1"/>
  <c r="M1780" i="1"/>
  <c r="O1779" i="1"/>
  <c r="O1779" i="1" a="1"/>
  <c r="N1779" i="1"/>
  <c r="M1779" i="1"/>
  <c r="O1778" i="1" a="1"/>
  <c r="O1778" i="1" s="1"/>
  <c r="N1778" i="1"/>
  <c r="M1778" i="1"/>
  <c r="O1777" i="1"/>
  <c r="O1777" i="1" a="1"/>
  <c r="N1777" i="1"/>
  <c r="M1777" i="1"/>
  <c r="O1776" i="1"/>
  <c r="O1776" i="1" a="1"/>
  <c r="N1776" i="1"/>
  <c r="M1776" i="1"/>
  <c r="O1775" i="1" a="1"/>
  <c r="O1775" i="1" s="1"/>
  <c r="N1775" i="1"/>
  <c r="M1775" i="1"/>
  <c r="O1774" i="1"/>
  <c r="O1774" i="1" a="1"/>
  <c r="N1774" i="1"/>
  <c r="M1774" i="1"/>
  <c r="O1773" i="1"/>
  <c r="O1773" i="1" a="1"/>
  <c r="N1773" i="1"/>
  <c r="M1773" i="1"/>
  <c r="O1772" i="1" a="1"/>
  <c r="O1772" i="1" s="1"/>
  <c r="N1772" i="1"/>
  <c r="M1772" i="1"/>
  <c r="O1771" i="1"/>
  <c r="O1771" i="1" a="1"/>
  <c r="N1771" i="1"/>
  <c r="M1771" i="1"/>
  <c r="O1770" i="1"/>
  <c r="O1770" i="1" a="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c r="O1762" i="1" a="1"/>
  <c r="N1762" i="1"/>
  <c r="M1762" i="1"/>
  <c r="O1761" i="1"/>
  <c r="O1761" i="1" a="1"/>
  <c r="N1761" i="1"/>
  <c r="M1761" i="1"/>
  <c r="O1760" i="1" a="1"/>
  <c r="O1760" i="1" s="1"/>
  <c r="N1760" i="1"/>
  <c r="M1760" i="1"/>
  <c r="O1759" i="1"/>
  <c r="O1759" i="1" a="1"/>
  <c r="N1759" i="1"/>
  <c r="M1759" i="1"/>
  <c r="O1758" i="1"/>
  <c r="O1758" i="1" a="1"/>
  <c r="N1758" i="1"/>
  <c r="M1758" i="1"/>
  <c r="O1757" i="1" a="1"/>
  <c r="O1757" i="1" s="1"/>
  <c r="N1757" i="1"/>
  <c r="M1757" i="1"/>
  <c r="O1756" i="1"/>
  <c r="O1756" i="1" a="1"/>
  <c r="N1756" i="1"/>
  <c r="M1756" i="1"/>
  <c r="O1755" i="1"/>
  <c r="O1755" i="1" a="1"/>
  <c r="N1755" i="1"/>
  <c r="M1755" i="1"/>
  <c r="O1754" i="1" a="1"/>
  <c r="O1754" i="1" s="1"/>
  <c r="N1754" i="1"/>
  <c r="M1754" i="1"/>
  <c r="O1753" i="1"/>
  <c r="O1753" i="1" a="1"/>
  <c r="N1753" i="1"/>
  <c r="M1753" i="1"/>
  <c r="O1752" i="1"/>
  <c r="O1752" i="1" a="1"/>
  <c r="N1752" i="1"/>
  <c r="M1752" i="1"/>
  <c r="O1751" i="1" a="1"/>
  <c r="O1751" i="1" s="1"/>
  <c r="N1751" i="1"/>
  <c r="M1751" i="1"/>
  <c r="O1750" i="1"/>
  <c r="O1750" i="1" a="1"/>
  <c r="N1750" i="1"/>
  <c r="M1750" i="1"/>
  <c r="O1749" i="1"/>
  <c r="O1749" i="1" a="1"/>
  <c r="N1749" i="1"/>
  <c r="M1749" i="1"/>
  <c r="O1748" i="1" a="1"/>
  <c r="O1748" i="1" s="1"/>
  <c r="N1748" i="1"/>
  <c r="M1748" i="1"/>
  <c r="O1747" i="1"/>
  <c r="O1747" i="1" a="1"/>
  <c r="N1747" i="1"/>
  <c r="M1747" i="1"/>
  <c r="O1746" i="1"/>
  <c r="O1746" i="1" a="1"/>
  <c r="N1746" i="1"/>
  <c r="M1746" i="1"/>
  <c r="O1745" i="1" a="1"/>
  <c r="O1745" i="1" s="1"/>
  <c r="N1745" i="1"/>
  <c r="M1745" i="1"/>
  <c r="O1744" i="1"/>
  <c r="O1744" i="1" a="1"/>
  <c r="N1744" i="1"/>
  <c r="M1744" i="1"/>
  <c r="O1743" i="1"/>
  <c r="O1743" i="1" a="1"/>
  <c r="N1743" i="1"/>
  <c r="M1743" i="1"/>
  <c r="O1742" i="1" a="1"/>
  <c r="O1742" i="1" s="1"/>
  <c r="N1742" i="1"/>
  <c r="M1742" i="1"/>
  <c r="O1741" i="1"/>
  <c r="O1741" i="1" a="1"/>
  <c r="N1741" i="1"/>
  <c r="M1741" i="1"/>
  <c r="O1740" i="1"/>
  <c r="O1740" i="1" a="1"/>
  <c r="N1740" i="1"/>
  <c r="M1740" i="1"/>
  <c r="O1739" i="1" a="1"/>
  <c r="O1739" i="1" s="1"/>
  <c r="N1739" i="1"/>
  <c r="M1739" i="1"/>
  <c r="O1738" i="1"/>
  <c r="O1738" i="1" a="1"/>
  <c r="N1738" i="1"/>
  <c r="M1738" i="1"/>
  <c r="O1737" i="1"/>
  <c r="O1737" i="1" a="1"/>
  <c r="N1737" i="1"/>
  <c r="M1737" i="1"/>
  <c r="O1736" i="1" a="1"/>
  <c r="O1736" i="1" s="1"/>
  <c r="N1736" i="1"/>
  <c r="M1736" i="1"/>
  <c r="O1735" i="1"/>
  <c r="O1735" i="1" a="1"/>
  <c r="N1735" i="1"/>
  <c r="M1735" i="1"/>
  <c r="O1734" i="1"/>
  <c r="O1734" i="1" a="1"/>
  <c r="N1734" i="1"/>
  <c r="M1734" i="1"/>
  <c r="O1733" i="1" a="1"/>
  <c r="O1733" i="1" s="1"/>
  <c r="N1733" i="1"/>
  <c r="M1733" i="1"/>
  <c r="O1732" i="1"/>
  <c r="O1732" i="1" a="1"/>
  <c r="N1732" i="1"/>
  <c r="M1732" i="1"/>
  <c r="O1731" i="1"/>
  <c r="O1731" i="1" a="1"/>
  <c r="N1731" i="1"/>
  <c r="M1731" i="1"/>
  <c r="O1730" i="1" a="1"/>
  <c r="O1730" i="1" s="1"/>
  <c r="N1730" i="1"/>
  <c r="M1730" i="1"/>
  <c r="O1729" i="1"/>
  <c r="O1729" i="1" a="1"/>
  <c r="N1729" i="1"/>
  <c r="M1729" i="1"/>
  <c r="O1728" i="1"/>
  <c r="O1728" i="1" a="1"/>
  <c r="N1728" i="1"/>
  <c r="M1728" i="1"/>
  <c r="O1727" i="1" a="1"/>
  <c r="O1727" i="1" s="1"/>
  <c r="N1727" i="1"/>
  <c r="M1727" i="1"/>
  <c r="O1726" i="1"/>
  <c r="O1726" i="1" a="1"/>
  <c r="N1726" i="1"/>
  <c r="M1726" i="1"/>
  <c r="O1725" i="1"/>
  <c r="O1725" i="1" a="1"/>
  <c r="N1725" i="1"/>
  <c r="M1725" i="1"/>
  <c r="O1724" i="1" a="1"/>
  <c r="O1724" i="1" s="1"/>
  <c r="N1724" i="1"/>
  <c r="M1724" i="1"/>
  <c r="O1723" i="1"/>
  <c r="O1723" i="1" a="1"/>
  <c r="N1723" i="1"/>
  <c r="M1723" i="1"/>
  <c r="O1722" i="1"/>
  <c r="O1722" i="1" a="1"/>
  <c r="N1722" i="1"/>
  <c r="M1722" i="1"/>
  <c r="O1721" i="1" a="1"/>
  <c r="O1721" i="1" s="1"/>
  <c r="N1721" i="1"/>
  <c r="M1721" i="1"/>
  <c r="O1720" i="1"/>
  <c r="O1720" i="1" a="1"/>
  <c r="N1720" i="1"/>
  <c r="M1720" i="1"/>
  <c r="O1719" i="1"/>
  <c r="O1719" i="1" a="1"/>
  <c r="N1719" i="1"/>
  <c r="M1719" i="1"/>
  <c r="O1718" i="1" a="1"/>
  <c r="O1718" i="1" s="1"/>
  <c r="N1718" i="1"/>
  <c r="M1718" i="1"/>
  <c r="O1717" i="1"/>
  <c r="O1717" i="1" a="1"/>
  <c r="N1717" i="1"/>
  <c r="M1717" i="1"/>
  <c r="O1716" i="1"/>
  <c r="O1716" i="1" a="1"/>
  <c r="N1716" i="1"/>
  <c r="M1716" i="1"/>
  <c r="O1715" i="1" a="1"/>
  <c r="O1715" i="1" s="1"/>
  <c r="N1715" i="1"/>
  <c r="M1715" i="1"/>
  <c r="O1714" i="1"/>
  <c r="O1714" i="1" a="1"/>
  <c r="N1714" i="1"/>
  <c r="M1714" i="1"/>
  <c r="O1713" i="1"/>
  <c r="O1713" i="1" a="1"/>
  <c r="N1713" i="1"/>
  <c r="M1713" i="1"/>
  <c r="O1712" i="1" a="1"/>
  <c r="O1712" i="1" s="1"/>
  <c r="N1712" i="1"/>
  <c r="M1712" i="1"/>
  <c r="O1711" i="1"/>
  <c r="O1711" i="1" a="1"/>
  <c r="N1711" i="1"/>
  <c r="M1711" i="1"/>
  <c r="O1710" i="1"/>
  <c r="O1710" i="1" a="1"/>
  <c r="N1710" i="1"/>
  <c r="M1710" i="1"/>
  <c r="O1709" i="1" a="1"/>
  <c r="O1709" i="1" s="1"/>
  <c r="N1709" i="1"/>
  <c r="M1709" i="1"/>
  <c r="O1708" i="1"/>
  <c r="O1708" i="1" a="1"/>
  <c r="N1708" i="1"/>
  <c r="M1708" i="1"/>
  <c r="O1707" i="1"/>
  <c r="O1707" i="1" a="1"/>
  <c r="N1707" i="1"/>
  <c r="M1707" i="1"/>
  <c r="O1706" i="1" a="1"/>
  <c r="O1706" i="1" s="1"/>
  <c r="N1706" i="1"/>
  <c r="M1706" i="1"/>
  <c r="O1705" i="1"/>
  <c r="O1705" i="1" a="1"/>
  <c r="N1705" i="1"/>
  <c r="M1705" i="1"/>
  <c r="O1704" i="1"/>
  <c r="O1704" i="1" a="1"/>
  <c r="N1704" i="1"/>
  <c r="M1704" i="1"/>
  <c r="O1703" i="1" a="1"/>
  <c r="O1703" i="1" s="1"/>
  <c r="N1703" i="1"/>
  <c r="M1703" i="1"/>
  <c r="O1702" i="1"/>
  <c r="O1702" i="1" a="1"/>
  <c r="N1702" i="1"/>
  <c r="M1702" i="1"/>
  <c r="O1701" i="1"/>
  <c r="O1701" i="1" a="1"/>
  <c r="N1701" i="1"/>
  <c r="M1701" i="1"/>
  <c r="O1700" i="1" a="1"/>
  <c r="O1700" i="1" s="1"/>
  <c r="N1700" i="1"/>
  <c r="M1700" i="1"/>
  <c r="O1699" i="1"/>
  <c r="O1699" i="1" a="1"/>
  <c r="N1699" i="1"/>
  <c r="M1699" i="1"/>
  <c r="O1698" i="1"/>
  <c r="O1698" i="1" a="1"/>
  <c r="N1698" i="1"/>
  <c r="M1698" i="1"/>
  <c r="O1697" i="1" a="1"/>
  <c r="O1697" i="1" s="1"/>
  <c r="N1697" i="1"/>
  <c r="M1697" i="1"/>
  <c r="O1696" i="1"/>
  <c r="O1696" i="1" a="1"/>
  <c r="N1696" i="1"/>
  <c r="M1696" i="1"/>
  <c r="O1695" i="1"/>
  <c r="O1695" i="1" a="1"/>
  <c r="N1695" i="1"/>
  <c r="M1695" i="1"/>
  <c r="O1694" i="1" a="1"/>
  <c r="O1694" i="1" s="1"/>
  <c r="N1694" i="1"/>
  <c r="M1694" i="1"/>
  <c r="O1693" i="1"/>
  <c r="O1693" i="1" a="1"/>
  <c r="N1693" i="1"/>
  <c r="M1693" i="1"/>
  <c r="O1692" i="1"/>
  <c r="O1692" i="1" a="1"/>
  <c r="N1692" i="1"/>
  <c r="M1692" i="1"/>
  <c r="O1691" i="1" a="1"/>
  <c r="O1691" i="1" s="1"/>
  <c r="N1691" i="1"/>
  <c r="M1691" i="1"/>
  <c r="O1690" i="1"/>
  <c r="O1690" i="1" a="1"/>
  <c r="N1690" i="1"/>
  <c r="M1690" i="1"/>
  <c r="O1689" i="1"/>
  <c r="O1689" i="1" a="1"/>
  <c r="N1689" i="1"/>
  <c r="M1689" i="1"/>
  <c r="O1688" i="1" a="1"/>
  <c r="O1688" i="1" s="1"/>
  <c r="N1688" i="1"/>
  <c r="M1688" i="1"/>
  <c r="O1687" i="1"/>
  <c r="O1687" i="1" a="1"/>
  <c r="N1687" i="1"/>
  <c r="M1687" i="1"/>
  <c r="O1686" i="1"/>
  <c r="O1686" i="1" a="1"/>
  <c r="N1686" i="1"/>
  <c r="M1686" i="1"/>
  <c r="O1685" i="1" a="1"/>
  <c r="O1685" i="1" s="1"/>
  <c r="N1685" i="1"/>
  <c r="M1685" i="1"/>
  <c r="O1684" i="1"/>
  <c r="O1684" i="1" a="1"/>
  <c r="N1684" i="1"/>
  <c r="M1684" i="1"/>
  <c r="O1683" i="1"/>
  <c r="O1683" i="1" a="1"/>
  <c r="N1683" i="1"/>
  <c r="M1683" i="1"/>
  <c r="O1682" i="1" a="1"/>
  <c r="O1682" i="1" s="1"/>
  <c r="N1682" i="1"/>
  <c r="M1682" i="1"/>
  <c r="O1681" i="1"/>
  <c r="O1681" i="1" a="1"/>
  <c r="N1681" i="1"/>
  <c r="M1681" i="1"/>
  <c r="O1680" i="1"/>
  <c r="O1680" i="1" a="1"/>
  <c r="N1680" i="1"/>
  <c r="M1680" i="1"/>
  <c r="O1679" i="1" a="1"/>
  <c r="O1679" i="1" s="1"/>
  <c r="N1679" i="1"/>
  <c r="M1679" i="1"/>
  <c r="O1678" i="1"/>
  <c r="O1678" i="1" a="1"/>
  <c r="N1678" i="1"/>
  <c r="M1678" i="1"/>
  <c r="O1677" i="1"/>
  <c r="O1677" i="1" a="1"/>
  <c r="N1677" i="1"/>
  <c r="M1677" i="1"/>
  <c r="O1676" i="1" a="1"/>
  <c r="O1676" i="1" s="1"/>
  <c r="N1676" i="1"/>
  <c r="M1676" i="1"/>
  <c r="O1675" i="1"/>
  <c r="O1675" i="1" a="1"/>
  <c r="N1675" i="1"/>
  <c r="M1675" i="1"/>
  <c r="O1674" i="1"/>
  <c r="O1674" i="1" a="1"/>
  <c r="N1674" i="1"/>
  <c r="M1674" i="1"/>
  <c r="O1673" i="1" a="1"/>
  <c r="O1673" i="1" s="1"/>
  <c r="N1673" i="1"/>
  <c r="M1673" i="1"/>
  <c r="O1672" i="1"/>
  <c r="O1672" i="1" a="1"/>
  <c r="N1672" i="1"/>
  <c r="M1672" i="1"/>
  <c r="O1671" i="1"/>
  <c r="O1671" i="1" a="1"/>
  <c r="N1671" i="1"/>
  <c r="M1671" i="1"/>
  <c r="O1670" i="1" a="1"/>
  <c r="O1670" i="1" s="1"/>
  <c r="N1670" i="1"/>
  <c r="M1670" i="1"/>
  <c r="O1669" i="1"/>
  <c r="O1669" i="1" a="1"/>
  <c r="N1669" i="1"/>
  <c r="M1669" i="1"/>
  <c r="O1668" i="1"/>
  <c r="O1668" i="1" a="1"/>
  <c r="N1668" i="1"/>
  <c r="M1668" i="1"/>
  <c r="O1667" i="1" a="1"/>
  <c r="O1667" i="1" s="1"/>
  <c r="N1667" i="1"/>
  <c r="M1667" i="1"/>
  <c r="O1666" i="1"/>
  <c r="O1666" i="1" a="1"/>
  <c r="N1666" i="1"/>
  <c r="M1666" i="1"/>
  <c r="O1665" i="1"/>
  <c r="O1665" i="1" a="1"/>
  <c r="N1665" i="1"/>
  <c r="M1665" i="1"/>
  <c r="O1664" i="1" a="1"/>
  <c r="O1664" i="1" s="1"/>
  <c r="N1664" i="1"/>
  <c r="M1664" i="1"/>
  <c r="O1663" i="1"/>
  <c r="O1663" i="1" a="1"/>
  <c r="N1663" i="1"/>
  <c r="M1663" i="1"/>
  <c r="O1662" i="1"/>
  <c r="O1662" i="1" a="1"/>
  <c r="N1662" i="1"/>
  <c r="M1662" i="1"/>
  <c r="O1661" i="1" a="1"/>
  <c r="O1661" i="1" s="1"/>
  <c r="N1661" i="1"/>
  <c r="M1661" i="1"/>
  <c r="O1660" i="1"/>
  <c r="O1660" i="1" a="1"/>
  <c r="N1660" i="1"/>
  <c r="M1660" i="1"/>
  <c r="O1659" i="1"/>
  <c r="O1659" i="1" a="1"/>
  <c r="N1659" i="1"/>
  <c r="M1659" i="1"/>
  <c r="O1658" i="1" a="1"/>
  <c r="O1658" i="1" s="1"/>
  <c r="N1658" i="1"/>
  <c r="M1658" i="1"/>
  <c r="O1657" i="1"/>
  <c r="O1657" i="1" a="1"/>
  <c r="N1657" i="1"/>
  <c r="M1657" i="1"/>
  <c r="O1656" i="1"/>
  <c r="O1656" i="1" a="1"/>
  <c r="N1656" i="1"/>
  <c r="M1656" i="1"/>
  <c r="O1655" i="1" a="1"/>
  <c r="O1655" i="1" s="1"/>
  <c r="N1655" i="1"/>
  <c r="M1655" i="1"/>
  <c r="O1654" i="1"/>
  <c r="O1654" i="1" a="1"/>
  <c r="N1654" i="1"/>
  <c r="M1654" i="1"/>
  <c r="O1653" i="1"/>
  <c r="O1653" i="1" a="1"/>
  <c r="N1653" i="1"/>
  <c r="M1653" i="1"/>
  <c r="O1652" i="1" a="1"/>
  <c r="O1652" i="1" s="1"/>
  <c r="N1652" i="1"/>
  <c r="M1652" i="1"/>
  <c r="O1651" i="1"/>
  <c r="O1651" i="1" a="1"/>
  <c r="N1651" i="1"/>
  <c r="M1651" i="1"/>
  <c r="O1650" i="1"/>
  <c r="O1650" i="1" a="1"/>
  <c r="N1650" i="1"/>
  <c r="M1650" i="1"/>
  <c r="O1649" i="1" a="1"/>
  <c r="O1649" i="1" s="1"/>
  <c r="N1649" i="1"/>
  <c r="M1649" i="1"/>
  <c r="O1648" i="1"/>
  <c r="O1648" i="1" a="1"/>
  <c r="N1648" i="1"/>
  <c r="M1648" i="1"/>
  <c r="O1647" i="1"/>
  <c r="O1647" i="1" a="1"/>
  <c r="N1647" i="1"/>
  <c r="M1647" i="1"/>
  <c r="O1646" i="1" a="1"/>
  <c r="O1646" i="1" s="1"/>
  <c r="N1646" i="1"/>
  <c r="M1646" i="1"/>
  <c r="O1645" i="1"/>
  <c r="O1645" i="1" a="1"/>
  <c r="N1645" i="1"/>
  <c r="M1645" i="1"/>
  <c r="O1644" i="1"/>
  <c r="O1644" i="1" a="1"/>
  <c r="N1644" i="1"/>
  <c r="M1644" i="1"/>
  <c r="O1643" i="1" a="1"/>
  <c r="O1643" i="1" s="1"/>
  <c r="N1643" i="1"/>
  <c r="M1643" i="1"/>
  <c r="O1642" i="1"/>
  <c r="O1642" i="1" a="1"/>
  <c r="N1642" i="1"/>
  <c r="M1642" i="1"/>
  <c r="O1641" i="1"/>
  <c r="O1641" i="1" a="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c r="O1635" i="1" a="1"/>
  <c r="N1635" i="1"/>
  <c r="M1635" i="1"/>
  <c r="O1634" i="1" a="1"/>
  <c r="O1634" i="1" s="1"/>
  <c r="N1634" i="1"/>
  <c r="M1634" i="1"/>
  <c r="O1633" i="1"/>
  <c r="O1633" i="1" a="1"/>
  <c r="N1633" i="1"/>
  <c r="M1633" i="1"/>
  <c r="O1632" i="1"/>
  <c r="O1632" i="1" a="1"/>
  <c r="N1632" i="1"/>
  <c r="M1632" i="1"/>
  <c r="O1631" i="1" a="1"/>
  <c r="O1631" i="1" s="1"/>
  <c r="N1631" i="1"/>
  <c r="M1631" i="1"/>
  <c r="O1630" i="1"/>
  <c r="O1630" i="1" a="1"/>
  <c r="N1630" i="1"/>
  <c r="M1630" i="1"/>
  <c r="O1629" i="1"/>
  <c r="O1629" i="1" a="1"/>
  <c r="N1629" i="1"/>
  <c r="M1629" i="1"/>
  <c r="O1628" i="1" a="1"/>
  <c r="O1628" i="1" s="1"/>
  <c r="N1628" i="1"/>
  <c r="M1628" i="1"/>
  <c r="O1627" i="1"/>
  <c r="O1627" i="1" a="1"/>
  <c r="N1627" i="1"/>
  <c r="M1627" i="1"/>
  <c r="O1626" i="1"/>
  <c r="O1626" i="1" a="1"/>
  <c r="N1626" i="1"/>
  <c r="M1626" i="1"/>
  <c r="O1625" i="1" a="1"/>
  <c r="O1625" i="1" s="1"/>
  <c r="N1625" i="1"/>
  <c r="M1625" i="1"/>
  <c r="O1624" i="1"/>
  <c r="O1624" i="1" a="1"/>
  <c r="N1624" i="1"/>
  <c r="M1624" i="1"/>
  <c r="O1623" i="1"/>
  <c r="O1623" i="1" a="1"/>
  <c r="N1623" i="1"/>
  <c r="M1623" i="1"/>
  <c r="O1622" i="1" a="1"/>
  <c r="O1622" i="1" s="1"/>
  <c r="N1622" i="1"/>
  <c r="M1622" i="1"/>
  <c r="O1621" i="1"/>
  <c r="O1621" i="1" a="1"/>
  <c r="N1621" i="1"/>
  <c r="M1621" i="1"/>
  <c r="O1620" i="1"/>
  <c r="O1620" i="1" a="1"/>
  <c r="N1620" i="1"/>
  <c r="M1620" i="1"/>
  <c r="O1619" i="1" a="1"/>
  <c r="O1619" i="1" s="1"/>
  <c r="N1619" i="1"/>
  <c r="M1619" i="1"/>
  <c r="O1618" i="1"/>
  <c r="O1618" i="1" a="1"/>
  <c r="N1618" i="1"/>
  <c r="M1618" i="1"/>
  <c r="O1617" i="1"/>
  <c r="O1617" i="1" a="1"/>
  <c r="N1617" i="1"/>
  <c r="M1617" i="1"/>
  <c r="O1616" i="1" a="1"/>
  <c r="O1616" i="1" s="1"/>
  <c r="N1616" i="1"/>
  <c r="M1616" i="1"/>
  <c r="O1615" i="1"/>
  <c r="O1615" i="1" a="1"/>
  <c r="N1615" i="1"/>
  <c r="M1615" i="1"/>
  <c r="O1614" i="1"/>
  <c r="O1614" i="1" a="1"/>
  <c r="N1614" i="1"/>
  <c r="M1614" i="1"/>
  <c r="O1613" i="1" a="1"/>
  <c r="O1613" i="1" s="1"/>
  <c r="N1613" i="1"/>
  <c r="M1613" i="1"/>
  <c r="O1612" i="1"/>
  <c r="O1612" i="1" a="1"/>
  <c r="N1612" i="1"/>
  <c r="M1612" i="1"/>
  <c r="O1611" i="1"/>
  <c r="O1611" i="1" a="1"/>
  <c r="N1611" i="1"/>
  <c r="M1611" i="1"/>
  <c r="O1610" i="1" a="1"/>
  <c r="O1610" i="1" s="1"/>
  <c r="N1610" i="1"/>
  <c r="M1610" i="1"/>
  <c r="O1609" i="1"/>
  <c r="O1609" i="1" a="1"/>
  <c r="N1609" i="1"/>
  <c r="M1609" i="1"/>
  <c r="O1608" i="1"/>
  <c r="O1608" i="1" a="1"/>
  <c r="N1608" i="1"/>
  <c r="M1608" i="1"/>
  <c r="O1607" i="1" a="1"/>
  <c r="O1607" i="1" s="1"/>
  <c r="N1607" i="1"/>
  <c r="M1607" i="1"/>
  <c r="O1606" i="1"/>
  <c r="O1606" i="1" a="1"/>
  <c r="N1606" i="1"/>
  <c r="M1606" i="1"/>
  <c r="O1605" i="1"/>
  <c r="O1605" i="1" a="1"/>
  <c r="N1605" i="1"/>
  <c r="M1605" i="1"/>
  <c r="O1604" i="1" a="1"/>
  <c r="O1604" i="1" s="1"/>
  <c r="N1604" i="1"/>
  <c r="M1604" i="1"/>
  <c r="O1603" i="1"/>
  <c r="O1603" i="1" a="1"/>
  <c r="N1603" i="1"/>
  <c r="M1603" i="1"/>
  <c r="O1602" i="1"/>
  <c r="O1602" i="1" a="1"/>
  <c r="N1602" i="1"/>
  <c r="M1602" i="1"/>
  <c r="O1601" i="1" a="1"/>
  <c r="O1601" i="1" s="1"/>
  <c r="N1601" i="1"/>
  <c r="M1601" i="1"/>
  <c r="O1600" i="1"/>
  <c r="O1600" i="1" a="1"/>
  <c r="N1600" i="1"/>
  <c r="M1600" i="1"/>
  <c r="O1599" i="1"/>
  <c r="O1599" i="1" a="1"/>
  <c r="N1599" i="1"/>
  <c r="M1599" i="1"/>
  <c r="O1598" i="1" a="1"/>
  <c r="O1598" i="1" s="1"/>
  <c r="N1598" i="1"/>
  <c r="M1598" i="1"/>
  <c r="O1597" i="1"/>
  <c r="O1597" i="1" a="1"/>
  <c r="N1597" i="1"/>
  <c r="M1597" i="1"/>
  <c r="O1596" i="1"/>
  <c r="O1596" i="1" a="1"/>
  <c r="N1596" i="1"/>
  <c r="M1596" i="1"/>
  <c r="O1595" i="1" a="1"/>
  <c r="O1595" i="1" s="1"/>
  <c r="N1595" i="1"/>
  <c r="M1595" i="1"/>
  <c r="O1594" i="1"/>
  <c r="O1594" i="1" a="1"/>
  <c r="N1594" i="1"/>
  <c r="M1594" i="1"/>
  <c r="O1593" i="1"/>
  <c r="O1593" i="1" a="1"/>
  <c r="N1593" i="1"/>
  <c r="M1593" i="1"/>
  <c r="O1592" i="1" a="1"/>
  <c r="O1592" i="1" s="1"/>
  <c r="N1592" i="1"/>
  <c r="M1592" i="1"/>
  <c r="O1591" i="1"/>
  <c r="O1591" i="1" a="1"/>
  <c r="N1591" i="1"/>
  <c r="M1591" i="1"/>
  <c r="O1590" i="1"/>
  <c r="O1590" i="1" a="1"/>
  <c r="N1590" i="1"/>
  <c r="M1590" i="1"/>
  <c r="O1589" i="1" a="1"/>
  <c r="O1589" i="1" s="1"/>
  <c r="N1589" i="1"/>
  <c r="M1589" i="1"/>
  <c r="O1588" i="1"/>
  <c r="O1588" i="1" a="1"/>
  <c r="N1588" i="1"/>
  <c r="M1588" i="1"/>
  <c r="O1587" i="1"/>
  <c r="O1587" i="1" a="1"/>
  <c r="N1587" i="1"/>
  <c r="M1587" i="1"/>
  <c r="O1586" i="1" a="1"/>
  <c r="O1586" i="1" s="1"/>
  <c r="N1586" i="1"/>
  <c r="M1586" i="1"/>
  <c r="O1585" i="1"/>
  <c r="O1585" i="1" a="1"/>
  <c r="N1585" i="1"/>
  <c r="M1585" i="1"/>
  <c r="O1584" i="1"/>
  <c r="O1584" i="1" a="1"/>
  <c r="N1584" i="1"/>
  <c r="M1584" i="1"/>
  <c r="O1583" i="1" a="1"/>
  <c r="O1583" i="1" s="1"/>
  <c r="N1583" i="1"/>
  <c r="M1583" i="1"/>
  <c r="O1582" i="1"/>
  <c r="O1582" i="1" a="1"/>
  <c r="N1582" i="1"/>
  <c r="M1582" i="1"/>
  <c r="O1581" i="1"/>
  <c r="O1581" i="1" a="1"/>
  <c r="N1581" i="1"/>
  <c r="M1581" i="1"/>
  <c r="O1580" i="1" a="1"/>
  <c r="O1580" i="1" s="1"/>
  <c r="N1580" i="1"/>
  <c r="M1580" i="1"/>
  <c r="O1579" i="1"/>
  <c r="O1579" i="1" a="1"/>
  <c r="N1579" i="1"/>
  <c r="M1579" i="1"/>
  <c r="O1578" i="1"/>
  <c r="O1578" i="1" a="1"/>
  <c r="N1578" i="1"/>
  <c r="M1578" i="1"/>
  <c r="O1577" i="1" a="1"/>
  <c r="O1577" i="1" s="1"/>
  <c r="N1577" i="1"/>
  <c r="M1577" i="1"/>
  <c r="O1576" i="1"/>
  <c r="O1576" i="1" a="1"/>
  <c r="N1576" i="1"/>
  <c r="M1576" i="1"/>
  <c r="O1575" i="1"/>
  <c r="O1575" i="1" a="1"/>
  <c r="N1575" i="1"/>
  <c r="M1575" i="1"/>
  <c r="O1574" i="1" a="1"/>
  <c r="O1574" i="1" s="1"/>
  <c r="N1574" i="1"/>
  <c r="M1574" i="1"/>
  <c r="O1573" i="1"/>
  <c r="O1573" i="1" a="1"/>
  <c r="N1573" i="1"/>
  <c r="M1573" i="1"/>
  <c r="O1572" i="1"/>
  <c r="O1572" i="1" a="1"/>
  <c r="N1572" i="1"/>
  <c r="M1572" i="1"/>
  <c r="O1571" i="1" a="1"/>
  <c r="O1571" i="1" s="1"/>
  <c r="N1571" i="1"/>
  <c r="M1571" i="1"/>
  <c r="O1570" i="1"/>
  <c r="O1570" i="1" a="1"/>
  <c r="N1570" i="1"/>
  <c r="M1570" i="1"/>
  <c r="O1569" i="1"/>
  <c r="O1569" i="1" a="1"/>
  <c r="N1569" i="1"/>
  <c r="M1569" i="1"/>
  <c r="O1568" i="1" a="1"/>
  <c r="O1568" i="1" s="1"/>
  <c r="N1568" i="1"/>
  <c r="M1568" i="1"/>
  <c r="O1567" i="1"/>
  <c r="O1567" i="1" a="1"/>
  <c r="N1567" i="1"/>
  <c r="M1567" i="1"/>
  <c r="O1566" i="1"/>
  <c r="O1566" i="1" a="1"/>
  <c r="N1566" i="1"/>
  <c r="M1566" i="1"/>
  <c r="O1565" i="1" a="1"/>
  <c r="O1565" i="1" s="1"/>
  <c r="N1565" i="1"/>
  <c r="M1565" i="1"/>
  <c r="O1564" i="1"/>
  <c r="O1564" i="1" a="1"/>
  <c r="N1564" i="1"/>
  <c r="M1564" i="1"/>
  <c r="O1563" i="1"/>
  <c r="O1563" i="1" a="1"/>
  <c r="N1563" i="1"/>
  <c r="M1563" i="1"/>
  <c r="O1562" i="1" a="1"/>
  <c r="O1562" i="1" s="1"/>
  <c r="N1562" i="1"/>
  <c r="M1562" i="1"/>
  <c r="O1561" i="1"/>
  <c r="O1561" i="1" a="1"/>
  <c r="N1561" i="1"/>
  <c r="M1561" i="1"/>
  <c r="O1560" i="1"/>
  <c r="O1560" i="1" a="1"/>
  <c r="N1560" i="1"/>
  <c r="M1560" i="1"/>
  <c r="O1559" i="1" a="1"/>
  <c r="O1559" i="1" s="1"/>
  <c r="N1559" i="1"/>
  <c r="M1559" i="1"/>
  <c r="O1558" i="1"/>
  <c r="O1558" i="1" a="1"/>
  <c r="N1558" i="1"/>
  <c r="M1558" i="1"/>
  <c r="O1557" i="1"/>
  <c r="O1557" i="1" a="1"/>
  <c r="N1557" i="1"/>
  <c r="M1557" i="1"/>
  <c r="O1556" i="1" a="1"/>
  <c r="O1556" i="1" s="1"/>
  <c r="N1556" i="1"/>
  <c r="M1556" i="1"/>
  <c r="O1555" i="1"/>
  <c r="O1555" i="1" a="1"/>
  <c r="N1555" i="1"/>
  <c r="M1555" i="1"/>
  <c r="O1554" i="1"/>
  <c r="O1554" i="1" a="1"/>
  <c r="N1554" i="1"/>
  <c r="M1554" i="1"/>
  <c r="O1553" i="1" a="1"/>
  <c r="O1553" i="1" s="1"/>
  <c r="N1553" i="1"/>
  <c r="M1553" i="1"/>
  <c r="O1552" i="1"/>
  <c r="O1552" i="1" a="1"/>
  <c r="N1552" i="1"/>
  <c r="M1552" i="1"/>
  <c r="O1551" i="1"/>
  <c r="O1551" i="1" a="1"/>
  <c r="N1551" i="1"/>
  <c r="M1551" i="1"/>
  <c r="O1550" i="1" a="1"/>
  <c r="O1550" i="1" s="1"/>
  <c r="N1550" i="1"/>
  <c r="M1550" i="1"/>
  <c r="O1549" i="1"/>
  <c r="O1549" i="1" a="1"/>
  <c r="N1549" i="1"/>
  <c r="M1549" i="1"/>
  <c r="O1548" i="1"/>
  <c r="O1548" i="1" a="1"/>
  <c r="N1548" i="1"/>
  <c r="M1548" i="1"/>
  <c r="O1547" i="1" a="1"/>
  <c r="O1547" i="1" s="1"/>
  <c r="N1547" i="1"/>
  <c r="M1547" i="1"/>
  <c r="O1546" i="1"/>
  <c r="O1546" i="1" a="1"/>
  <c r="N1546" i="1"/>
  <c r="M1546" i="1"/>
  <c r="O1545" i="1"/>
  <c r="O1545" i="1" a="1"/>
  <c r="N1545" i="1"/>
  <c r="M1545" i="1"/>
  <c r="O1544" i="1" a="1"/>
  <c r="O1544" i="1" s="1"/>
  <c r="N1544" i="1"/>
  <c r="M1544" i="1"/>
  <c r="O1543" i="1"/>
  <c r="O1543" i="1" a="1"/>
  <c r="N1543" i="1"/>
  <c r="M1543" i="1"/>
  <c r="O1542" i="1"/>
  <c r="O1542" i="1" a="1"/>
  <c r="N1542" i="1"/>
  <c r="M1542" i="1"/>
  <c r="O1541" i="1" a="1"/>
  <c r="O1541" i="1" s="1"/>
  <c r="N1541" i="1"/>
  <c r="M1541" i="1"/>
  <c r="O1540" i="1"/>
  <c r="O1540" i="1" a="1"/>
  <c r="N1540" i="1"/>
  <c r="M1540" i="1"/>
  <c r="O1539" i="1"/>
  <c r="O1539" i="1" a="1"/>
  <c r="N1539" i="1"/>
  <c r="M1539" i="1"/>
  <c r="O1538" i="1" a="1"/>
  <c r="O1538" i="1" s="1"/>
  <c r="N1538" i="1"/>
  <c r="M1538" i="1"/>
  <c r="O1537" i="1"/>
  <c r="O1537" i="1" a="1"/>
  <c r="N1537" i="1"/>
  <c r="M1537" i="1"/>
  <c r="O1536" i="1"/>
  <c r="O1536" i="1" a="1"/>
  <c r="N1536" i="1"/>
  <c r="M1536" i="1"/>
  <c r="O1535" i="1" a="1"/>
  <c r="O1535" i="1" s="1"/>
  <c r="N1535" i="1"/>
  <c r="M1535" i="1"/>
  <c r="O1534" i="1"/>
  <c r="O1534" i="1" a="1"/>
  <c r="N1534" i="1"/>
  <c r="M1534" i="1"/>
  <c r="O1533" i="1"/>
  <c r="O1533" i="1" a="1"/>
  <c r="N1533" i="1"/>
  <c r="M1533" i="1"/>
  <c r="O1532" i="1" a="1"/>
  <c r="O1532" i="1" s="1"/>
  <c r="N1532" i="1"/>
  <c r="M1532" i="1"/>
  <c r="O1531" i="1"/>
  <c r="O1531" i="1" a="1"/>
  <c r="N1531" i="1"/>
  <c r="M1531" i="1"/>
  <c r="O1530" i="1"/>
  <c r="O1530" i="1" a="1"/>
  <c r="N1530" i="1"/>
  <c r="M1530" i="1"/>
  <c r="O1529" i="1" a="1"/>
  <c r="O1529" i="1" s="1"/>
  <c r="N1529" i="1"/>
  <c r="M1529" i="1"/>
  <c r="O1528" i="1"/>
  <c r="O1528" i="1" a="1"/>
  <c r="N1528" i="1"/>
  <c r="M1528" i="1"/>
  <c r="O1527" i="1"/>
  <c r="O1527" i="1" a="1"/>
  <c r="N1527" i="1"/>
  <c r="M1527" i="1"/>
  <c r="O1526" i="1" a="1"/>
  <c r="O1526" i="1" s="1"/>
  <c r="N1526" i="1"/>
  <c r="M1526" i="1"/>
  <c r="O1525" i="1"/>
  <c r="O1525" i="1" a="1"/>
  <c r="N1525" i="1"/>
  <c r="M1525" i="1"/>
  <c r="O1524" i="1"/>
  <c r="O1524" i="1" a="1"/>
  <c r="N1524" i="1"/>
  <c r="M1524" i="1"/>
  <c r="O1523" i="1" a="1"/>
  <c r="O1523" i="1" s="1"/>
  <c r="N1523" i="1"/>
  <c r="M1523" i="1"/>
  <c r="O1522" i="1"/>
  <c r="O1522" i="1" a="1"/>
  <c r="N1522" i="1"/>
  <c r="M1522" i="1"/>
  <c r="O1521" i="1"/>
  <c r="O1521" i="1" a="1"/>
  <c r="N1521" i="1"/>
  <c r="M1521" i="1"/>
  <c r="O1520" i="1" a="1"/>
  <c r="O1520" i="1" s="1"/>
  <c r="N1520" i="1"/>
  <c r="M1520" i="1"/>
  <c r="O1519" i="1"/>
  <c r="O1519" i="1" a="1"/>
  <c r="N1519" i="1"/>
  <c r="M1519" i="1"/>
  <c r="O1518" i="1"/>
  <c r="O1518" i="1" a="1"/>
  <c r="N1518" i="1"/>
  <c r="M1518" i="1"/>
  <c r="O1517" i="1" a="1"/>
  <c r="O1517" i="1" s="1"/>
  <c r="N1517" i="1"/>
  <c r="M1517" i="1"/>
  <c r="O1516" i="1"/>
  <c r="O1516" i="1" a="1"/>
  <c r="N1516" i="1"/>
  <c r="M1516" i="1"/>
  <c r="O1515" i="1"/>
  <c r="O1515" i="1" a="1"/>
  <c r="N1515" i="1"/>
  <c r="M1515" i="1"/>
  <c r="O1514" i="1" a="1"/>
  <c r="O1514" i="1" s="1"/>
  <c r="N1514" i="1"/>
  <c r="M1514" i="1"/>
  <c r="O1513" i="1"/>
  <c r="O1513" i="1" a="1"/>
  <c r="N1513" i="1"/>
  <c r="M1513" i="1"/>
  <c r="O1512" i="1"/>
  <c r="O1512" i="1" a="1"/>
  <c r="N1512" i="1"/>
  <c r="M1512" i="1"/>
  <c r="O1511" i="1" a="1"/>
  <c r="O1511" i="1" s="1"/>
  <c r="N1511" i="1"/>
  <c r="M1511" i="1"/>
  <c r="O1510" i="1"/>
  <c r="O1510" i="1" a="1"/>
  <c r="N1510" i="1"/>
  <c r="M1510" i="1"/>
  <c r="O1509" i="1"/>
  <c r="O1509" i="1" a="1"/>
  <c r="N1509" i="1"/>
  <c r="M1509" i="1"/>
  <c r="O1508" i="1" a="1"/>
  <c r="O1508" i="1" s="1"/>
  <c r="N1508" i="1"/>
  <c r="M1508" i="1"/>
  <c r="O1507" i="1"/>
  <c r="O1507" i="1" a="1"/>
  <c r="N1507" i="1"/>
  <c r="M1507" i="1"/>
  <c r="O1506" i="1"/>
  <c r="O1506" i="1" a="1"/>
  <c r="N1506" i="1"/>
  <c r="M1506" i="1"/>
  <c r="O1505" i="1" a="1"/>
  <c r="O1505" i="1" s="1"/>
  <c r="N1505" i="1"/>
  <c r="M1505" i="1"/>
  <c r="O1504" i="1"/>
  <c r="O1504" i="1" a="1"/>
  <c r="N1504" i="1"/>
  <c r="M1504" i="1"/>
  <c r="O1503" i="1"/>
  <c r="O1503" i="1" a="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c r="O1497" i="1" a="1"/>
  <c r="N1497" i="1"/>
  <c r="M1497" i="1"/>
  <c r="O1496" i="1" a="1"/>
  <c r="O1496" i="1" s="1"/>
  <c r="N1496" i="1"/>
  <c r="M1496" i="1"/>
  <c r="O1495" i="1"/>
  <c r="O1495" i="1" a="1"/>
  <c r="N1495" i="1"/>
  <c r="M1495" i="1"/>
  <c r="O1494" i="1"/>
  <c r="O1494" i="1" a="1"/>
  <c r="N1494" i="1"/>
  <c r="M1494" i="1"/>
  <c r="O1493" i="1" a="1"/>
  <c r="O1493" i="1" s="1"/>
  <c r="N1493" i="1"/>
  <c r="M1493" i="1"/>
  <c r="O1492" i="1"/>
  <c r="O1492" i="1" a="1"/>
  <c r="N1492" i="1"/>
  <c r="M1492" i="1"/>
  <c r="O1491" i="1"/>
  <c r="O1491" i="1" a="1"/>
  <c r="N1491" i="1"/>
  <c r="M1491" i="1"/>
  <c r="O1490" i="1" a="1"/>
  <c r="O1490" i="1" s="1"/>
  <c r="N1490" i="1"/>
  <c r="M1490" i="1"/>
  <c r="O1489" i="1"/>
  <c r="O1489" i="1" a="1"/>
  <c r="N1489" i="1"/>
  <c r="M1489" i="1"/>
  <c r="O1488" i="1"/>
  <c r="O1488" i="1" a="1"/>
  <c r="N1488" i="1"/>
  <c r="M1488" i="1"/>
  <c r="O1487" i="1" a="1"/>
  <c r="O1487" i="1" s="1"/>
  <c r="N1487" i="1"/>
  <c r="M1487" i="1"/>
  <c r="O1486" i="1"/>
  <c r="O1486" i="1" a="1"/>
  <c r="N1486" i="1"/>
  <c r="M1486" i="1"/>
  <c r="O1485" i="1"/>
  <c r="O1485" i="1" a="1"/>
  <c r="N1485" i="1"/>
  <c r="M1485" i="1"/>
  <c r="O1484" i="1" a="1"/>
  <c r="O1484" i="1" s="1"/>
  <c r="N1484" i="1"/>
  <c r="M1484" i="1"/>
  <c r="O1483" i="1"/>
  <c r="O1483" i="1" a="1"/>
  <c r="N1483" i="1"/>
  <c r="M1483" i="1"/>
  <c r="O1482" i="1"/>
  <c r="O1482" i="1" a="1"/>
  <c r="N1482" i="1"/>
  <c r="M1482" i="1"/>
  <c r="O1481" i="1" a="1"/>
  <c r="O1481" i="1" s="1"/>
  <c r="N1481" i="1"/>
  <c r="M1481" i="1"/>
  <c r="O1480" i="1"/>
  <c r="O1480" i="1" a="1"/>
  <c r="N1480" i="1"/>
  <c r="M1480" i="1"/>
  <c r="O1479" i="1"/>
  <c r="O1479" i="1" a="1"/>
  <c r="N1479" i="1"/>
  <c r="M1479" i="1"/>
  <c r="O1478" i="1" a="1"/>
  <c r="O1478" i="1" s="1"/>
  <c r="N1478" i="1"/>
  <c r="M1478" i="1"/>
  <c r="O1477" i="1"/>
  <c r="O1477" i="1" a="1"/>
  <c r="N1477" i="1"/>
  <c r="M1477" i="1"/>
  <c r="O1476" i="1"/>
  <c r="O1476" i="1" a="1"/>
  <c r="N1476" i="1"/>
  <c r="M1476" i="1"/>
  <c r="O1475" i="1" a="1"/>
  <c r="O1475" i="1" s="1"/>
  <c r="N1475" i="1"/>
  <c r="M1475" i="1"/>
  <c r="O1474" i="1"/>
  <c r="O1474" i="1" a="1"/>
  <c r="N1474" i="1"/>
  <c r="M1474" i="1"/>
  <c r="O1473" i="1"/>
  <c r="O1473" i="1" a="1"/>
  <c r="N1473" i="1"/>
  <c r="M1473" i="1"/>
  <c r="O1472" i="1" a="1"/>
  <c r="O1472" i="1" s="1"/>
  <c r="N1472" i="1"/>
  <c r="M1472" i="1"/>
  <c r="O1471" i="1"/>
  <c r="O1471" i="1" a="1"/>
  <c r="N1471" i="1"/>
  <c r="M1471" i="1"/>
  <c r="O1470" i="1"/>
  <c r="O1470" i="1" a="1"/>
  <c r="N1470" i="1"/>
  <c r="M1470" i="1"/>
  <c r="O1469" i="1" a="1"/>
  <c r="O1469" i="1" s="1"/>
  <c r="N1469" i="1"/>
  <c r="M1469" i="1"/>
  <c r="O1468" i="1"/>
  <c r="O1468" i="1" a="1"/>
  <c r="N1468" i="1"/>
  <c r="M1468" i="1"/>
  <c r="O1467" i="1"/>
  <c r="O1467" i="1" a="1"/>
  <c r="N1467" i="1"/>
  <c r="M1467" i="1"/>
  <c r="O1466" i="1" a="1"/>
  <c r="O1466" i="1" s="1"/>
  <c r="N1466" i="1"/>
  <c r="M1466" i="1"/>
  <c r="O1465" i="1"/>
  <c r="O1465" i="1" a="1"/>
  <c r="N1465" i="1"/>
  <c r="M1465" i="1"/>
  <c r="O1464" i="1"/>
  <c r="O1464" i="1" a="1"/>
  <c r="N1464" i="1"/>
  <c r="M1464" i="1"/>
  <c r="O1463" i="1" a="1"/>
  <c r="O1463" i="1" s="1"/>
  <c r="N1463" i="1"/>
  <c r="M1463" i="1"/>
  <c r="O1462" i="1"/>
  <c r="O1462" i="1" a="1"/>
  <c r="N1462" i="1"/>
  <c r="M1462" i="1"/>
  <c r="O1461" i="1"/>
  <c r="O1461" i="1" a="1"/>
  <c r="N1461" i="1"/>
  <c r="M1461" i="1"/>
  <c r="O1460" i="1" a="1"/>
  <c r="O1460" i="1" s="1"/>
  <c r="N1460" i="1"/>
  <c r="M1460" i="1"/>
  <c r="O1459" i="1"/>
  <c r="O1459" i="1" a="1"/>
  <c r="N1459" i="1"/>
  <c r="M1459" i="1"/>
  <c r="O1458" i="1"/>
  <c r="O1458" i="1" a="1"/>
  <c r="N1458" i="1"/>
  <c r="M1458" i="1"/>
  <c r="O1457" i="1" a="1"/>
  <c r="O1457" i="1" s="1"/>
  <c r="N1457" i="1"/>
  <c r="M1457" i="1"/>
  <c r="O1456" i="1"/>
  <c r="O1456" i="1" a="1"/>
  <c r="N1456" i="1"/>
  <c r="M1456" i="1"/>
  <c r="O1455" i="1"/>
  <c r="O1455" i="1" a="1"/>
  <c r="N1455" i="1"/>
  <c r="M1455" i="1"/>
  <c r="O1454" i="1" a="1"/>
  <c r="O1454" i="1" s="1"/>
  <c r="N1454" i="1"/>
  <c r="M1454" i="1"/>
  <c r="O1453" i="1"/>
  <c r="O1453" i="1" a="1"/>
  <c r="N1453" i="1"/>
  <c r="M1453" i="1"/>
  <c r="O1452" i="1"/>
  <c r="O1452" i="1" a="1"/>
  <c r="N1452" i="1"/>
  <c r="M1452" i="1"/>
  <c r="O1451" i="1" a="1"/>
  <c r="O1451" i="1" s="1"/>
  <c r="N1451" i="1"/>
  <c r="M1451" i="1"/>
  <c r="O1450" i="1"/>
  <c r="O1450" i="1" a="1"/>
  <c r="N1450" i="1"/>
  <c r="M1450" i="1"/>
  <c r="O1449" i="1"/>
  <c r="O1449" i="1" a="1"/>
  <c r="N1449" i="1"/>
  <c r="M1449" i="1"/>
  <c r="O1448" i="1" a="1"/>
  <c r="O1448" i="1" s="1"/>
  <c r="N1448" i="1"/>
  <c r="M1448" i="1"/>
  <c r="O1447" i="1"/>
  <c r="O1447" i="1" a="1"/>
  <c r="N1447" i="1"/>
  <c r="M1447" i="1"/>
  <c r="O1446" i="1"/>
  <c r="O1446" i="1" a="1"/>
  <c r="N1446" i="1"/>
  <c r="M1446" i="1"/>
  <c r="O1445" i="1" a="1"/>
  <c r="O1445" i="1" s="1"/>
  <c r="N1445" i="1"/>
  <c r="M1445" i="1"/>
  <c r="O1444" i="1"/>
  <c r="O1444" i="1" a="1"/>
  <c r="N1444" i="1"/>
  <c r="M1444" i="1"/>
  <c r="O1443" i="1"/>
  <c r="O1443" i="1" a="1"/>
  <c r="N1443" i="1"/>
  <c r="M1443" i="1"/>
  <c r="O1442" i="1" a="1"/>
  <c r="O1442" i="1" s="1"/>
  <c r="N1442" i="1"/>
  <c r="M1442" i="1"/>
  <c r="O1441" i="1"/>
  <c r="O1441" i="1" a="1"/>
  <c r="N1441" i="1"/>
  <c r="M1441" i="1"/>
  <c r="O1440" i="1"/>
  <c r="O1440" i="1" a="1"/>
  <c r="N1440" i="1"/>
  <c r="M1440" i="1"/>
  <c r="O1439" i="1" a="1"/>
  <c r="O1439" i="1" s="1"/>
  <c r="N1439" i="1"/>
  <c r="M1439" i="1"/>
  <c r="O1438" i="1"/>
  <c r="O1438" i="1" a="1"/>
  <c r="N1438" i="1"/>
  <c r="M1438" i="1"/>
  <c r="O1437" i="1"/>
  <c r="O1437" i="1" a="1"/>
  <c r="N1437" i="1"/>
  <c r="M1437" i="1"/>
  <c r="O1436" i="1" a="1"/>
  <c r="O1436" i="1" s="1"/>
  <c r="N1436" i="1"/>
  <c r="M1436" i="1"/>
  <c r="O1435" i="1"/>
  <c r="O1435" i="1" a="1"/>
  <c r="N1435" i="1"/>
  <c r="M1435" i="1"/>
  <c r="O1434" i="1"/>
  <c r="O1434" i="1" a="1"/>
  <c r="N1434" i="1"/>
  <c r="M1434" i="1"/>
  <c r="O1433" i="1" a="1"/>
  <c r="O1433" i="1" s="1"/>
  <c r="N1433" i="1"/>
  <c r="M1433" i="1"/>
  <c r="O1432" i="1"/>
  <c r="O1432" i="1" a="1"/>
  <c r="N1432" i="1"/>
  <c r="M1432" i="1"/>
  <c r="O1431" i="1"/>
  <c r="O1431" i="1" a="1"/>
  <c r="N1431" i="1"/>
  <c r="M1431" i="1"/>
  <c r="O1430" i="1" a="1"/>
  <c r="O1430" i="1" s="1"/>
  <c r="N1430" i="1"/>
  <c r="M1430" i="1"/>
  <c r="O1429" i="1"/>
  <c r="O1429" i="1" a="1"/>
  <c r="N1429" i="1"/>
  <c r="M1429" i="1"/>
  <c r="O1428" i="1"/>
  <c r="O1428" i="1" a="1"/>
  <c r="N1428" i="1"/>
  <c r="M1428" i="1"/>
  <c r="O1427" i="1" a="1"/>
  <c r="O1427" i="1" s="1"/>
  <c r="N1427" i="1"/>
  <c r="M1427" i="1"/>
  <c r="O1426" i="1"/>
  <c r="O1426" i="1" a="1"/>
  <c r="N1426" i="1"/>
  <c r="M1426" i="1"/>
  <c r="O1425" i="1"/>
  <c r="O1425" i="1" a="1"/>
  <c r="N1425" i="1"/>
  <c r="M1425" i="1"/>
  <c r="O1424" i="1" a="1"/>
  <c r="O1424" i="1" s="1"/>
  <c r="N1424" i="1"/>
  <c r="M1424" i="1"/>
  <c r="O1423" i="1"/>
  <c r="O1423" i="1" a="1"/>
  <c r="N1423" i="1"/>
  <c r="M1423" i="1"/>
  <c r="O1422" i="1"/>
  <c r="O1422" i="1" a="1"/>
  <c r="N1422" i="1"/>
  <c r="M1422" i="1"/>
  <c r="O1421" i="1" a="1"/>
  <c r="O1421" i="1" s="1"/>
  <c r="N1421" i="1"/>
  <c r="M1421" i="1"/>
  <c r="O1420" i="1"/>
  <c r="O1420" i="1" a="1"/>
  <c r="N1420" i="1"/>
  <c r="M1420" i="1"/>
  <c r="O1419" i="1"/>
  <c r="O1419" i="1" a="1"/>
  <c r="N1419" i="1"/>
  <c r="M1419" i="1"/>
  <c r="O1418" i="1" a="1"/>
  <c r="O1418" i="1" s="1"/>
  <c r="N1418" i="1"/>
  <c r="M1418" i="1"/>
  <c r="O1417" i="1"/>
  <c r="O1417" i="1" a="1"/>
  <c r="N1417" i="1"/>
  <c r="M1417" i="1"/>
  <c r="O1416" i="1"/>
  <c r="O1416" i="1" a="1"/>
  <c r="N1416" i="1"/>
  <c r="M1416" i="1"/>
  <c r="O1415" i="1" a="1"/>
  <c r="O1415" i="1" s="1"/>
  <c r="N1415" i="1"/>
  <c r="M1415" i="1"/>
  <c r="O1414" i="1"/>
  <c r="O1414" i="1" a="1"/>
  <c r="N1414" i="1"/>
  <c r="M1414" i="1"/>
  <c r="O1413" i="1"/>
  <c r="O1413" i="1" a="1"/>
  <c r="N1413" i="1"/>
  <c r="M1413" i="1"/>
  <c r="O1412" i="1" a="1"/>
  <c r="O1412" i="1" s="1"/>
  <c r="N1412" i="1"/>
  <c r="M1412" i="1"/>
  <c r="O1411" i="1"/>
  <c r="O1411" i="1" a="1"/>
  <c r="N1411" i="1"/>
  <c r="M1411" i="1"/>
  <c r="O1410" i="1"/>
  <c r="O1410" i="1" a="1"/>
  <c r="N1410" i="1"/>
  <c r="M1410" i="1"/>
  <c r="O1409" i="1" a="1"/>
  <c r="O1409" i="1" s="1"/>
  <c r="N1409" i="1"/>
  <c r="M1409" i="1"/>
  <c r="O1408" i="1"/>
  <c r="O1408" i="1" a="1"/>
  <c r="N1408" i="1"/>
  <c r="M1408" i="1"/>
  <c r="O1407" i="1"/>
  <c r="O1407" i="1" a="1"/>
  <c r="N1407" i="1"/>
  <c r="M1407" i="1"/>
  <c r="O1406" i="1" a="1"/>
  <c r="O1406" i="1" s="1"/>
  <c r="N1406" i="1"/>
  <c r="M1406" i="1"/>
  <c r="O1405" i="1"/>
  <c r="O1405" i="1" a="1"/>
  <c r="N1405" i="1"/>
  <c r="M1405" i="1"/>
  <c r="O1404" i="1"/>
  <c r="O1404" i="1" a="1"/>
  <c r="N1404" i="1"/>
  <c r="M1404" i="1"/>
  <c r="O1403" i="1" a="1"/>
  <c r="O1403" i="1" s="1"/>
  <c r="N1403" i="1"/>
  <c r="M1403" i="1"/>
  <c r="O1402" i="1"/>
  <c r="O1402" i="1" a="1"/>
  <c r="N1402" i="1"/>
  <c r="M1402" i="1"/>
  <c r="O1401" i="1"/>
  <c r="O1401" i="1" a="1"/>
  <c r="N1401" i="1"/>
  <c r="M1401" i="1"/>
  <c r="O1400" i="1" a="1"/>
  <c r="O1400" i="1" s="1"/>
  <c r="N1400" i="1"/>
  <c r="M1400" i="1"/>
  <c r="O1399" i="1"/>
  <c r="O1399" i="1" a="1"/>
  <c r="N1399" i="1"/>
  <c r="M1399" i="1"/>
  <c r="O1398" i="1"/>
  <c r="O1398" i="1" a="1"/>
  <c r="N1398" i="1"/>
  <c r="M1398" i="1"/>
  <c r="O1397" i="1" a="1"/>
  <c r="O1397" i="1" s="1"/>
  <c r="N1397" i="1"/>
  <c r="M1397" i="1"/>
  <c r="O1396" i="1"/>
  <c r="O1396" i="1" a="1"/>
  <c r="N1396" i="1"/>
  <c r="M1396" i="1"/>
  <c r="O1395" i="1"/>
  <c r="O1395" i="1" a="1"/>
  <c r="N1395" i="1"/>
  <c r="M1395" i="1"/>
  <c r="O1394" i="1" a="1"/>
  <c r="O1394" i="1" s="1"/>
  <c r="N1394" i="1"/>
  <c r="M1394" i="1"/>
  <c r="O1393" i="1"/>
  <c r="O1393" i="1" a="1"/>
  <c r="N1393" i="1"/>
  <c r="M1393" i="1"/>
  <c r="O1392" i="1"/>
  <c r="O1392" i="1" a="1"/>
  <c r="N1392" i="1"/>
  <c r="M1392" i="1"/>
  <c r="O1391" i="1" a="1"/>
  <c r="O1391" i="1" s="1"/>
  <c r="N1391" i="1"/>
  <c r="M1391" i="1"/>
  <c r="O1390" i="1"/>
  <c r="O1390" i="1" a="1"/>
  <c r="N1390" i="1"/>
  <c r="M1390" i="1"/>
  <c r="O1389" i="1"/>
  <c r="O1389" i="1" a="1"/>
  <c r="N1389" i="1"/>
  <c r="M1389" i="1"/>
  <c r="O1388" i="1" a="1"/>
  <c r="O1388" i="1" s="1"/>
  <c r="N1388" i="1"/>
  <c r="M1388" i="1"/>
  <c r="O1387" i="1"/>
  <c r="O1387" i="1" a="1"/>
  <c r="N1387" i="1"/>
  <c r="M1387" i="1"/>
  <c r="O1386" i="1"/>
  <c r="O1386" i="1" a="1"/>
  <c r="N1386" i="1"/>
  <c r="M1386" i="1"/>
  <c r="O1385" i="1" a="1"/>
  <c r="O1385" i="1" s="1"/>
  <c r="N1385" i="1"/>
  <c r="M1385" i="1"/>
  <c r="O1384" i="1"/>
  <c r="O1384" i="1" a="1"/>
  <c r="N1384" i="1"/>
  <c r="M1384" i="1"/>
  <c r="O1383" i="1"/>
  <c r="O1383" i="1" a="1"/>
  <c r="N1383" i="1"/>
  <c r="M1383" i="1"/>
  <c r="O1382" i="1" a="1"/>
  <c r="O1382" i="1" s="1"/>
  <c r="N1382" i="1"/>
  <c r="M1382" i="1"/>
  <c r="O1381" i="1"/>
  <c r="O1381" i="1" a="1"/>
  <c r="N1381" i="1"/>
  <c r="M1381" i="1"/>
  <c r="O1380" i="1"/>
  <c r="O1380" i="1" a="1"/>
  <c r="N1380" i="1"/>
  <c r="M1380" i="1"/>
  <c r="O1379" i="1" a="1"/>
  <c r="O1379" i="1" s="1"/>
  <c r="N1379" i="1"/>
  <c r="M1379" i="1"/>
  <c r="O1378" i="1"/>
  <c r="O1378" i="1" a="1"/>
  <c r="N1378" i="1"/>
  <c r="M1378" i="1"/>
  <c r="O1377" i="1"/>
  <c r="O1377" i="1" a="1"/>
  <c r="N1377" i="1"/>
  <c r="M1377" i="1"/>
  <c r="O1376" i="1" a="1"/>
  <c r="O1376" i="1" s="1"/>
  <c r="N1376" i="1"/>
  <c r="M1376" i="1"/>
  <c r="O1375" i="1"/>
  <c r="O1375" i="1" a="1"/>
  <c r="N1375" i="1"/>
  <c r="M1375" i="1"/>
  <c r="O1374" i="1"/>
  <c r="O1374" i="1" a="1"/>
  <c r="N1374" i="1"/>
  <c r="M1374" i="1"/>
  <c r="O1373" i="1" a="1"/>
  <c r="O1373" i="1" s="1"/>
  <c r="N1373" i="1"/>
  <c r="M1373" i="1"/>
  <c r="O1372" i="1"/>
  <c r="O1372" i="1" a="1"/>
  <c r="N1372" i="1"/>
  <c r="M1372" i="1"/>
  <c r="O1371" i="1"/>
  <c r="O1371" i="1" a="1"/>
  <c r="N1371" i="1"/>
  <c r="M1371" i="1"/>
  <c r="O1370" i="1" a="1"/>
  <c r="O1370" i="1" s="1"/>
  <c r="N1370" i="1"/>
  <c r="M1370" i="1"/>
  <c r="O1369" i="1"/>
  <c r="O1369" i="1" a="1"/>
  <c r="N1369" i="1"/>
  <c r="M1369" i="1"/>
  <c r="O1368" i="1"/>
  <c r="O1368" i="1" a="1"/>
  <c r="N1368" i="1"/>
  <c r="M1368" i="1"/>
  <c r="O1367" i="1" a="1"/>
  <c r="O1367" i="1" s="1"/>
  <c r="N1367" i="1"/>
  <c r="M1367" i="1"/>
  <c r="O1366" i="1"/>
  <c r="O1366" i="1" a="1"/>
  <c r="N1366" i="1"/>
  <c r="M1366" i="1"/>
  <c r="O1365" i="1"/>
  <c r="O1365" i="1" a="1"/>
  <c r="N1365" i="1"/>
  <c r="M1365" i="1"/>
  <c r="O1364" i="1" a="1"/>
  <c r="O1364" i="1" s="1"/>
  <c r="N1364" i="1"/>
  <c r="M1364" i="1"/>
  <c r="O1363" i="1"/>
  <c r="O1363" i="1" a="1"/>
  <c r="N1363" i="1"/>
  <c r="M1363" i="1"/>
  <c r="O1362" i="1" a="1"/>
  <c r="O1362" i="1" s="1"/>
  <c r="N1362" i="1"/>
  <c r="M1362" i="1"/>
  <c r="O1361" i="1" a="1"/>
  <c r="O1361" i="1" s="1"/>
  <c r="N1361" i="1"/>
  <c r="M1361" i="1"/>
  <c r="O1360" i="1"/>
  <c r="O1360" i="1" a="1"/>
  <c r="N1360" i="1"/>
  <c r="M1360" i="1"/>
  <c r="O1359" i="1" a="1"/>
  <c r="O1359" i="1" s="1"/>
  <c r="N1359" i="1"/>
  <c r="M1359" i="1"/>
  <c r="O1358" i="1"/>
  <c r="O1358" i="1" a="1"/>
  <c r="N1358" i="1"/>
  <c r="M1358" i="1"/>
  <c r="O1357" i="1"/>
  <c r="O1357" i="1" a="1"/>
  <c r="N1357" i="1"/>
  <c r="M1357" i="1"/>
  <c r="O1356" i="1" a="1"/>
  <c r="O1356" i="1" s="1"/>
  <c r="N1356" i="1"/>
  <c r="M1356" i="1"/>
  <c r="O1355" i="1" a="1"/>
  <c r="O1355" i="1" s="1"/>
  <c r="N1355" i="1"/>
  <c r="M1355" i="1"/>
  <c r="O1354" i="1"/>
  <c r="O1354" i="1" a="1"/>
  <c r="N1354" i="1"/>
  <c r="M1354" i="1"/>
  <c r="O1353" i="1" a="1"/>
  <c r="O1353" i="1" s="1"/>
  <c r="N1353" i="1"/>
  <c r="M1353" i="1"/>
  <c r="O1352" i="1" a="1"/>
  <c r="O1352" i="1" s="1"/>
  <c r="N1352" i="1"/>
  <c r="M1352" i="1"/>
  <c r="O1351" i="1"/>
  <c r="O1351" i="1" a="1"/>
  <c r="N1351" i="1"/>
  <c r="M1351" i="1"/>
  <c r="O1350" i="1" a="1"/>
  <c r="O1350" i="1" s="1"/>
  <c r="N1350" i="1"/>
  <c r="M1350" i="1"/>
  <c r="O1349" i="1" a="1"/>
  <c r="O1349" i="1" s="1"/>
  <c r="N1349" i="1"/>
  <c r="M1349" i="1"/>
  <c r="O1348" i="1"/>
  <c r="O1348" i="1" a="1"/>
  <c r="N1348" i="1"/>
  <c r="M1348" i="1"/>
  <c r="O1347" i="1" a="1"/>
  <c r="O1347" i="1" s="1"/>
  <c r="N1347" i="1"/>
  <c r="M1347" i="1"/>
  <c r="O1346" i="1"/>
  <c r="O1346" i="1" a="1"/>
  <c r="N1346" i="1"/>
  <c r="M1346" i="1"/>
  <c r="O1345" i="1"/>
  <c r="O1345" i="1" a="1"/>
  <c r="N1345" i="1"/>
  <c r="M1345" i="1"/>
  <c r="O1344" i="1" a="1"/>
  <c r="O1344" i="1" s="1"/>
  <c r="N1344" i="1"/>
  <c r="M1344" i="1"/>
  <c r="O1343" i="1" a="1"/>
  <c r="O1343" i="1" s="1"/>
  <c r="N1343" i="1"/>
  <c r="M1343" i="1"/>
  <c r="O1342" i="1"/>
  <c r="O1342" i="1" a="1"/>
  <c r="N1342" i="1"/>
  <c r="M1342" i="1"/>
  <c r="O1341" i="1" a="1"/>
  <c r="O1341" i="1" s="1"/>
  <c r="N1341" i="1"/>
  <c r="M1341" i="1"/>
  <c r="O1340" i="1" a="1"/>
  <c r="O1340" i="1" s="1"/>
  <c r="N1340" i="1"/>
  <c r="M1340" i="1"/>
  <c r="O1339" i="1"/>
  <c r="O1339" i="1" a="1"/>
  <c r="N1339" i="1"/>
  <c r="M1339" i="1"/>
  <c r="O1338" i="1" a="1"/>
  <c r="O1338" i="1" s="1"/>
  <c r="N1338" i="1"/>
  <c r="M1338" i="1"/>
  <c r="O1337" i="1"/>
  <c r="O1337" i="1" a="1"/>
  <c r="N1337" i="1"/>
  <c r="M1337" i="1"/>
  <c r="O1336" i="1"/>
  <c r="O1336" i="1" a="1"/>
  <c r="N1336" i="1"/>
  <c r="M1336" i="1"/>
  <c r="O1335" i="1" a="1"/>
  <c r="O1335" i="1" s="1"/>
  <c r="N1335" i="1"/>
  <c r="M1335" i="1"/>
  <c r="O1334" i="1"/>
  <c r="O1334" i="1" a="1"/>
  <c r="N1334" i="1"/>
  <c r="M1334" i="1"/>
  <c r="O1333" i="1"/>
  <c r="O1333" i="1" a="1"/>
  <c r="N1333" i="1"/>
  <c r="M1333" i="1"/>
  <c r="O1332" i="1" a="1"/>
  <c r="O1332" i="1" s="1"/>
  <c r="N1332" i="1"/>
  <c r="M1332" i="1"/>
  <c r="O1331" i="1" a="1"/>
  <c r="O1331" i="1" s="1"/>
  <c r="N1331" i="1"/>
  <c r="M1331" i="1"/>
  <c r="O1330" i="1"/>
  <c r="O1330" i="1" a="1"/>
  <c r="N1330" i="1"/>
  <c r="M1330" i="1"/>
  <c r="O1329" i="1" a="1"/>
  <c r="O1329" i="1" s="1"/>
  <c r="N1329" i="1"/>
  <c r="M1329" i="1"/>
  <c r="O1328" i="1" a="1"/>
  <c r="O1328" i="1" s="1"/>
  <c r="N1328" i="1"/>
  <c r="M1328" i="1"/>
  <c r="O1327" i="1"/>
  <c r="O1327" i="1" a="1"/>
  <c r="N1327" i="1"/>
  <c r="M1327" i="1"/>
  <c r="O1326" i="1" a="1"/>
  <c r="O1326" i="1" s="1"/>
  <c r="N1326" i="1"/>
  <c r="M1326" i="1"/>
  <c r="O1325" i="1" a="1"/>
  <c r="O1325" i="1" s="1"/>
  <c r="N1325" i="1"/>
  <c r="M1325" i="1"/>
  <c r="O1324" i="1"/>
  <c r="O1324" i="1" a="1"/>
  <c r="N1324" i="1"/>
  <c r="M1324" i="1"/>
  <c r="O1323" i="1" a="1"/>
  <c r="O1323" i="1" s="1"/>
  <c r="N1323" i="1"/>
  <c r="M1323" i="1"/>
  <c r="O1322" i="1" a="1"/>
  <c r="O1322" i="1" s="1"/>
  <c r="N1322" i="1"/>
  <c r="M1322" i="1"/>
  <c r="O1321" i="1"/>
  <c r="O1321" i="1" a="1"/>
  <c r="N1321" i="1"/>
  <c r="M1321" i="1"/>
  <c r="O1320" i="1" a="1"/>
  <c r="O1320" i="1" s="1"/>
  <c r="N1320" i="1"/>
  <c r="M1320" i="1"/>
  <c r="O1319" i="1"/>
  <c r="O1319" i="1" a="1"/>
  <c r="N1319" i="1"/>
  <c r="M1319" i="1"/>
  <c r="O1318" i="1"/>
  <c r="O1318" i="1" a="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c r="O1312" i="1" a="1"/>
  <c r="N1312" i="1"/>
  <c r="M1312" i="1"/>
  <c r="O1311" i="1" a="1"/>
  <c r="O1311" i="1" s="1"/>
  <c r="N1311" i="1"/>
  <c r="M1311" i="1"/>
  <c r="O1310" i="1" a="1"/>
  <c r="O1310" i="1" s="1"/>
  <c r="N1310" i="1"/>
  <c r="M1310" i="1"/>
  <c r="O1309" i="1"/>
  <c r="O1309" i="1" a="1"/>
  <c r="N1309" i="1"/>
  <c r="M1309" i="1"/>
  <c r="O1308" i="1" a="1"/>
  <c r="O1308" i="1" s="1"/>
  <c r="N1308" i="1"/>
  <c r="M1308" i="1"/>
  <c r="O1307" i="1" a="1"/>
  <c r="O1307" i="1" s="1"/>
  <c r="N1307" i="1"/>
  <c r="M1307" i="1"/>
  <c r="O1306" i="1"/>
  <c r="O1306" i="1" a="1"/>
  <c r="N1306" i="1"/>
  <c r="M1306" i="1"/>
  <c r="O1305" i="1" a="1"/>
  <c r="O1305" i="1" s="1"/>
  <c r="N1305" i="1"/>
  <c r="M1305" i="1"/>
  <c r="O1304" i="1" a="1"/>
  <c r="O1304" i="1" s="1"/>
  <c r="N1304" i="1"/>
  <c r="M1304" i="1"/>
  <c r="O1303" i="1"/>
  <c r="O1303" i="1" a="1"/>
  <c r="N1303" i="1"/>
  <c r="M1303" i="1"/>
  <c r="O1302" i="1" a="1"/>
  <c r="O1302" i="1" s="1"/>
  <c r="N1302" i="1"/>
  <c r="M1302" i="1"/>
  <c r="O1301" i="1"/>
  <c r="O1301" i="1" a="1"/>
  <c r="N1301" i="1"/>
  <c r="M1301" i="1"/>
  <c r="O1300" i="1"/>
  <c r="O1300" i="1" a="1"/>
  <c r="N1300" i="1"/>
  <c r="M1300" i="1"/>
  <c r="O1299" i="1" a="1"/>
  <c r="O1299" i="1" s="1"/>
  <c r="N1299" i="1"/>
  <c r="M1299" i="1"/>
  <c r="O1298" i="1"/>
  <c r="O1298" i="1" a="1"/>
  <c r="N1298" i="1"/>
  <c r="M1298" i="1"/>
  <c r="O1297" i="1"/>
  <c r="O1297" i="1" a="1"/>
  <c r="N1297" i="1"/>
  <c r="M1297" i="1"/>
  <c r="O1296" i="1" a="1"/>
  <c r="O1296" i="1" s="1"/>
  <c r="N1296" i="1"/>
  <c r="M1296" i="1"/>
  <c r="O1295" i="1" a="1"/>
  <c r="O1295" i="1" s="1"/>
  <c r="N1295" i="1"/>
  <c r="M1295" i="1"/>
  <c r="O1294" i="1"/>
  <c r="O1294" i="1" a="1"/>
  <c r="N1294" i="1"/>
  <c r="M1294" i="1"/>
  <c r="O1293" i="1" a="1"/>
  <c r="O1293" i="1" s="1"/>
  <c r="N1293" i="1"/>
  <c r="M1293" i="1"/>
  <c r="O1292" i="1" a="1"/>
  <c r="O1292" i="1" s="1"/>
  <c r="N1292" i="1"/>
  <c r="M1292" i="1"/>
  <c r="O1291" i="1"/>
  <c r="O1291" i="1" a="1"/>
  <c r="N1291" i="1"/>
  <c r="M1291" i="1"/>
  <c r="O1290" i="1" a="1"/>
  <c r="O1290" i="1" s="1"/>
  <c r="N1290" i="1"/>
  <c r="M1290" i="1"/>
  <c r="O1289" i="1"/>
  <c r="O1289" i="1" a="1"/>
  <c r="N1289" i="1"/>
  <c r="M1289" i="1"/>
  <c r="O1288" i="1"/>
  <c r="O1288" i="1" a="1"/>
  <c r="N1288" i="1"/>
  <c r="M1288" i="1"/>
  <c r="O1287" i="1" a="1"/>
  <c r="O1287" i="1" s="1"/>
  <c r="N1287" i="1"/>
  <c r="M1287" i="1"/>
  <c r="O1286" i="1" a="1"/>
  <c r="O1286" i="1" s="1"/>
  <c r="N1286" i="1"/>
  <c r="M1286" i="1"/>
  <c r="O1285" i="1"/>
  <c r="O1285" i="1" a="1"/>
  <c r="N1285" i="1"/>
  <c r="M1285" i="1"/>
  <c r="O1284" i="1" a="1"/>
  <c r="O1284" i="1" s="1"/>
  <c r="N1284" i="1"/>
  <c r="M1284" i="1"/>
  <c r="O1283" i="1"/>
  <c r="O1283" i="1" a="1"/>
  <c r="N1283" i="1"/>
  <c r="M1283" i="1"/>
  <c r="O1282" i="1"/>
  <c r="O1282" i="1" a="1"/>
  <c r="N1282" i="1"/>
  <c r="M1282" i="1"/>
  <c r="O1281" i="1" a="1"/>
  <c r="O1281" i="1" s="1"/>
  <c r="N1281" i="1"/>
  <c r="M1281" i="1"/>
  <c r="O1280" i="1" a="1"/>
  <c r="O1280" i="1" s="1"/>
  <c r="N1280" i="1"/>
  <c r="M1280" i="1"/>
  <c r="O1279" i="1"/>
  <c r="O1279" i="1" a="1"/>
  <c r="N1279" i="1"/>
  <c r="M1279" i="1"/>
  <c r="O1278" i="1" a="1"/>
  <c r="O1278" i="1" s="1"/>
  <c r="N1278" i="1"/>
  <c r="M1278" i="1"/>
  <c r="O1277" i="1" a="1"/>
  <c r="O1277" i="1" s="1"/>
  <c r="N1277" i="1"/>
  <c r="M1277" i="1"/>
  <c r="O1276" i="1"/>
  <c r="O1276" i="1" a="1"/>
  <c r="N1276" i="1"/>
  <c r="M1276" i="1"/>
  <c r="O1275" i="1" a="1"/>
  <c r="O1275" i="1" s="1"/>
  <c r="N1275" i="1"/>
  <c r="M1275" i="1"/>
  <c r="O1274" i="1" a="1"/>
  <c r="O1274" i="1" s="1"/>
  <c r="N1274" i="1"/>
  <c r="M1274" i="1"/>
  <c r="O1273" i="1"/>
  <c r="O1273" i="1" a="1"/>
  <c r="N1273" i="1"/>
  <c r="M1273" i="1"/>
  <c r="O1272" i="1" a="1"/>
  <c r="O1272" i="1" s="1"/>
  <c r="N1272" i="1"/>
  <c r="M1272" i="1"/>
  <c r="O1271" i="1" a="1"/>
  <c r="O1271" i="1" s="1"/>
  <c r="N1271" i="1"/>
  <c r="M1271" i="1"/>
  <c r="O1270" i="1"/>
  <c r="O1270" i="1" a="1"/>
  <c r="N1270" i="1"/>
  <c r="M1270" i="1"/>
  <c r="O1269" i="1" a="1"/>
  <c r="O1269" i="1" s="1"/>
  <c r="N1269" i="1"/>
  <c r="M1269" i="1"/>
  <c r="O1268" i="1" a="1"/>
  <c r="O1268" i="1" s="1"/>
  <c r="N1268" i="1"/>
  <c r="M1268" i="1"/>
  <c r="O1267" i="1"/>
  <c r="O1267" i="1" a="1"/>
  <c r="N1267" i="1"/>
  <c r="M1267" i="1"/>
  <c r="O1266" i="1" a="1"/>
  <c r="O1266" i="1" s="1"/>
  <c r="N1266" i="1"/>
  <c r="M1266" i="1"/>
  <c r="O1265" i="1"/>
  <c r="O1265" i="1" a="1"/>
  <c r="N1265" i="1"/>
  <c r="M1265" i="1"/>
  <c r="O1264" i="1"/>
  <c r="O1264" i="1" a="1"/>
  <c r="N1264" i="1"/>
  <c r="M1264" i="1"/>
  <c r="O1263" i="1" a="1"/>
  <c r="O1263" i="1" s="1"/>
  <c r="N1263" i="1"/>
  <c r="M1263" i="1"/>
  <c r="O1262" i="1" a="1"/>
  <c r="O1262" i="1" s="1"/>
  <c r="N1262" i="1"/>
  <c r="M1262" i="1"/>
  <c r="O1261" i="1"/>
  <c r="O1261" i="1" a="1"/>
  <c r="N1261" i="1"/>
  <c r="M1261" i="1"/>
  <c r="O1260" i="1" a="1"/>
  <c r="O1260" i="1" s="1"/>
  <c r="N1260" i="1"/>
  <c r="M1260" i="1"/>
  <c r="O1259" i="1"/>
  <c r="O1259" i="1" a="1"/>
  <c r="N1259" i="1"/>
  <c r="M1259" i="1"/>
  <c r="O1258" i="1"/>
  <c r="O1258" i="1" a="1"/>
  <c r="N1258" i="1"/>
  <c r="M1258" i="1"/>
  <c r="O1257" i="1" a="1"/>
  <c r="O1257" i="1" s="1"/>
  <c r="N1257" i="1"/>
  <c r="M1257" i="1"/>
  <c r="O1256" i="1" a="1"/>
  <c r="O1256" i="1" s="1"/>
  <c r="N1256" i="1"/>
  <c r="M1256" i="1"/>
  <c r="O1255" i="1"/>
  <c r="O1255" i="1" a="1"/>
  <c r="N1255" i="1"/>
  <c r="M1255" i="1"/>
  <c r="O1254" i="1" a="1"/>
  <c r="O1254" i="1" s="1"/>
  <c r="N1254" i="1"/>
  <c r="M1254" i="1"/>
  <c r="O1253" i="1" a="1"/>
  <c r="O1253" i="1" s="1"/>
  <c r="N1253" i="1"/>
  <c r="M1253" i="1"/>
  <c r="O1252" i="1"/>
  <c r="O1252" i="1" a="1"/>
  <c r="N1252" i="1"/>
  <c r="M1252" i="1"/>
  <c r="O1251" i="1" a="1"/>
  <c r="O1251" i="1" s="1"/>
  <c r="N1251" i="1"/>
  <c r="M1251" i="1"/>
  <c r="O1250" i="1" a="1"/>
  <c r="O1250" i="1" s="1"/>
  <c r="N1250" i="1"/>
  <c r="M1250" i="1"/>
  <c r="O1249" i="1"/>
  <c r="O1249" i="1" a="1"/>
  <c r="N1249" i="1"/>
  <c r="M1249" i="1"/>
  <c r="O1248" i="1" a="1"/>
  <c r="O1248" i="1" s="1"/>
  <c r="N1248" i="1"/>
  <c r="M1248" i="1"/>
  <c r="O1247" i="1" a="1"/>
  <c r="O1247" i="1" s="1"/>
  <c r="N1247" i="1"/>
  <c r="M1247" i="1"/>
  <c r="O1246" i="1"/>
  <c r="O1246" i="1" a="1"/>
  <c r="N1246" i="1"/>
  <c r="M1246" i="1"/>
  <c r="O1245" i="1" a="1"/>
  <c r="O1245" i="1" s="1"/>
  <c r="N1245" i="1"/>
  <c r="M1245" i="1"/>
  <c r="O1244" i="1" a="1"/>
  <c r="O1244" i="1" s="1"/>
  <c r="N1244" i="1"/>
  <c r="M1244" i="1"/>
  <c r="O1243" i="1"/>
  <c r="O1243" i="1" a="1"/>
  <c r="N1243" i="1"/>
  <c r="M1243" i="1"/>
  <c r="O1242" i="1" a="1"/>
  <c r="O1242" i="1" s="1"/>
  <c r="N1242" i="1"/>
  <c r="M1242" i="1"/>
  <c r="O1241" i="1"/>
  <c r="O1241" i="1" a="1"/>
  <c r="N1241" i="1"/>
  <c r="M1241" i="1"/>
  <c r="O1240" i="1"/>
  <c r="O1240" i="1" a="1"/>
  <c r="N1240" i="1"/>
  <c r="M1240" i="1"/>
  <c r="O1239" i="1" a="1"/>
  <c r="O1239" i="1" s="1"/>
  <c r="N1239" i="1"/>
  <c r="M1239" i="1"/>
  <c r="O1238" i="1" a="1"/>
  <c r="O1238" i="1" s="1"/>
  <c r="N1238" i="1"/>
  <c r="M1238" i="1"/>
  <c r="O1237" i="1"/>
  <c r="O1237" i="1" a="1"/>
  <c r="N1237" i="1"/>
  <c r="M1237" i="1"/>
  <c r="O1236" i="1" a="1"/>
  <c r="O1236" i="1" s="1"/>
  <c r="N1236" i="1"/>
  <c r="M1236" i="1"/>
  <c r="O1235" i="1" a="1"/>
  <c r="O1235" i="1" s="1"/>
  <c r="N1235" i="1"/>
  <c r="M1235" i="1"/>
  <c r="O1234" i="1"/>
  <c r="O1234" i="1" a="1"/>
  <c r="N1234" i="1"/>
  <c r="M1234" i="1"/>
  <c r="O1233" i="1" a="1"/>
  <c r="O1233" i="1" s="1"/>
  <c r="N1233" i="1"/>
  <c r="M1233" i="1"/>
  <c r="O1232" i="1" a="1"/>
  <c r="O1232" i="1" s="1"/>
  <c r="N1232" i="1"/>
  <c r="M1232" i="1"/>
  <c r="O1231" i="1"/>
  <c r="O1231" i="1" a="1"/>
  <c r="N1231" i="1"/>
  <c r="M1231" i="1"/>
  <c r="O1230" i="1" a="1"/>
  <c r="O1230" i="1" s="1"/>
  <c r="N1230" i="1"/>
  <c r="M1230" i="1"/>
  <c r="O1229" i="1"/>
  <c r="O1229" i="1" a="1"/>
  <c r="N1229" i="1"/>
  <c r="M1229" i="1"/>
  <c r="O1228" i="1"/>
  <c r="O1228" i="1" a="1"/>
  <c r="N1228" i="1"/>
  <c r="M1228" i="1"/>
  <c r="O1227" i="1" a="1"/>
  <c r="O1227" i="1" s="1"/>
  <c r="N1227" i="1"/>
  <c r="M1227" i="1"/>
  <c r="O1226" i="1"/>
  <c r="O1226" i="1" a="1"/>
  <c r="N1226" i="1"/>
  <c r="M1226" i="1"/>
  <c r="O1225" i="1"/>
  <c r="O1225" i="1" a="1"/>
  <c r="N1225" i="1"/>
  <c r="M1225" i="1"/>
  <c r="O1224" i="1" a="1"/>
  <c r="O1224" i="1" s="1"/>
  <c r="N1224" i="1"/>
  <c r="M1224" i="1"/>
  <c r="O1223" i="1" a="1"/>
  <c r="O1223" i="1" s="1"/>
  <c r="N1223" i="1"/>
  <c r="M1223" i="1"/>
  <c r="O1222" i="1"/>
  <c r="O1222" i="1" a="1"/>
  <c r="N1222" i="1"/>
  <c r="M1222" i="1"/>
  <c r="O1221" i="1" a="1"/>
  <c r="O1221" i="1" s="1"/>
  <c r="N1221" i="1"/>
  <c r="M1221" i="1"/>
  <c r="O1220" i="1" a="1"/>
  <c r="O1220" i="1" s="1"/>
  <c r="N1220" i="1"/>
  <c r="M1220" i="1"/>
  <c r="O1219" i="1"/>
  <c r="O1219" i="1" a="1"/>
  <c r="N1219" i="1"/>
  <c r="M1219" i="1"/>
  <c r="O1218" i="1" a="1"/>
  <c r="O1218" i="1" s="1"/>
  <c r="N1218" i="1"/>
  <c r="M1218" i="1"/>
  <c r="O1217" i="1" a="1"/>
  <c r="O1217" i="1" s="1"/>
  <c r="N1217" i="1"/>
  <c r="M1217" i="1"/>
  <c r="O1216" i="1"/>
  <c r="O1216" i="1" a="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c r="O1207" i="1" a="1"/>
  <c r="N1207" i="1"/>
  <c r="M1207" i="1"/>
  <c r="O1206" i="1" a="1"/>
  <c r="O1206" i="1" s="1"/>
  <c r="N1206" i="1"/>
  <c r="M1206" i="1"/>
  <c r="O1205" i="1" a="1"/>
  <c r="O1205" i="1" s="1"/>
  <c r="N1205" i="1"/>
  <c r="M1205" i="1"/>
  <c r="O1204" i="1"/>
  <c r="O1204" i="1" a="1"/>
  <c r="N1204" i="1"/>
  <c r="M1204" i="1"/>
  <c r="O1203" i="1" a="1"/>
  <c r="O1203" i="1" s="1"/>
  <c r="N1203" i="1"/>
  <c r="M1203" i="1"/>
  <c r="O1202" i="1" a="1"/>
  <c r="O1202" i="1" s="1"/>
  <c r="N1202" i="1"/>
  <c r="M1202" i="1"/>
  <c r="O1201" i="1"/>
  <c r="O1201" i="1" a="1"/>
  <c r="N1201" i="1"/>
  <c r="M1201" i="1"/>
  <c r="O1200" i="1" a="1"/>
  <c r="O1200" i="1" s="1"/>
  <c r="N1200" i="1"/>
  <c r="M1200" i="1"/>
  <c r="O1199" i="1" a="1"/>
  <c r="O1199" i="1" s="1"/>
  <c r="N1199" i="1"/>
  <c r="M1199" i="1"/>
  <c r="O1198" i="1"/>
  <c r="O1198" i="1" a="1"/>
  <c r="N1198" i="1"/>
  <c r="M1198" i="1"/>
  <c r="O1197" i="1" a="1"/>
  <c r="O1197" i="1" s="1"/>
  <c r="N1197" i="1"/>
  <c r="M1197" i="1"/>
  <c r="O1196" i="1" a="1"/>
  <c r="O1196" i="1" s="1"/>
  <c r="N1196" i="1"/>
  <c r="M1196" i="1"/>
  <c r="O1195" i="1"/>
  <c r="O1195" i="1" a="1"/>
  <c r="N1195" i="1"/>
  <c r="M1195" i="1"/>
  <c r="O1194" i="1" a="1"/>
  <c r="O1194" i="1" s="1"/>
  <c r="N1194" i="1"/>
  <c r="M1194" i="1"/>
  <c r="O1193" i="1"/>
  <c r="O1193" i="1" a="1"/>
  <c r="N1193" i="1"/>
  <c r="M1193" i="1"/>
  <c r="O1192" i="1"/>
  <c r="O1192" i="1" a="1"/>
  <c r="N1192" i="1"/>
  <c r="M1192" i="1"/>
  <c r="O1191" i="1" a="1"/>
  <c r="O1191" i="1" s="1"/>
  <c r="N1191" i="1"/>
  <c r="M1191" i="1"/>
  <c r="O1190" i="1" a="1"/>
  <c r="O1190" i="1" s="1"/>
  <c r="N1190" i="1"/>
  <c r="M1190" i="1"/>
  <c r="O1189" i="1"/>
  <c r="O1189" i="1" a="1"/>
  <c r="N1189" i="1"/>
  <c r="M1189" i="1"/>
  <c r="O1188" i="1" a="1"/>
  <c r="O1188" i="1" s="1"/>
  <c r="N1188" i="1"/>
  <c r="M1188" i="1"/>
  <c r="O1187" i="1" a="1"/>
  <c r="O1187" i="1" s="1"/>
  <c r="N1187" i="1"/>
  <c r="M1187" i="1"/>
  <c r="O1186" i="1"/>
  <c r="O1186" i="1" a="1"/>
  <c r="N1186" i="1"/>
  <c r="M1186" i="1"/>
  <c r="O1185" i="1" a="1"/>
  <c r="O1185" i="1" s="1"/>
  <c r="N1185" i="1"/>
  <c r="M1185" i="1"/>
  <c r="O1184" i="1" a="1"/>
  <c r="O1184" i="1" s="1"/>
  <c r="N1184" i="1"/>
  <c r="M1184" i="1"/>
  <c r="O1183" i="1"/>
  <c r="O1183" i="1" a="1"/>
  <c r="N1183" i="1"/>
  <c r="M1183" i="1"/>
  <c r="O1182" i="1" a="1"/>
  <c r="O1182" i="1" s="1"/>
  <c r="N1182" i="1"/>
  <c r="M1182" i="1"/>
  <c r="O1181" i="1"/>
  <c r="O1181" i="1" a="1"/>
  <c r="N1181" i="1"/>
  <c r="M1181" i="1"/>
  <c r="O1180" i="1"/>
  <c r="O1180" i="1" a="1"/>
  <c r="N1180" i="1"/>
  <c r="M1180" i="1"/>
  <c r="O1179" i="1" a="1"/>
  <c r="O1179" i="1" s="1"/>
  <c r="N1179" i="1"/>
  <c r="M1179" i="1"/>
  <c r="O1178" i="1" a="1"/>
  <c r="O1178" i="1" s="1"/>
  <c r="N1178" i="1"/>
  <c r="M1178" i="1"/>
  <c r="O1177" i="1"/>
  <c r="O1177" i="1" a="1"/>
  <c r="N1177" i="1"/>
  <c r="M1177" i="1"/>
  <c r="O1176" i="1" a="1"/>
  <c r="O1176" i="1" s="1"/>
  <c r="N1176" i="1"/>
  <c r="M1176" i="1"/>
  <c r="O1175" i="1" a="1"/>
  <c r="O1175" i="1" s="1"/>
  <c r="N1175" i="1"/>
  <c r="M1175" i="1"/>
  <c r="O1174" i="1"/>
  <c r="O1174" i="1" a="1"/>
  <c r="N1174" i="1"/>
  <c r="M1174" i="1"/>
  <c r="O1173" i="1" a="1"/>
  <c r="O1173" i="1" s="1"/>
  <c r="N1173" i="1"/>
  <c r="M1173" i="1"/>
  <c r="O1172" i="1" a="1"/>
  <c r="O1172" i="1" s="1"/>
  <c r="N1172" i="1"/>
  <c r="M1172" i="1"/>
  <c r="O1171" i="1"/>
  <c r="O1171" i="1" a="1"/>
  <c r="N1171" i="1"/>
  <c r="M1171" i="1"/>
  <c r="O1170" i="1" a="1"/>
  <c r="O1170" i="1" s="1"/>
  <c r="N1170" i="1"/>
  <c r="M1170" i="1"/>
  <c r="O1169" i="1" a="1"/>
  <c r="O1169" i="1" s="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a="1"/>
  <c r="O1161" i="1" s="1"/>
  <c r="N1161" i="1"/>
  <c r="M1161" i="1"/>
  <c r="O1160" i="1" a="1"/>
  <c r="O1160" i="1" s="1"/>
  <c r="N1160" i="1"/>
  <c r="M1160" i="1"/>
  <c r="O1159" i="1"/>
  <c r="O1159" i="1" a="1"/>
  <c r="N1159" i="1"/>
  <c r="M1159" i="1"/>
  <c r="O1158" i="1" a="1"/>
  <c r="O1158" i="1" s="1"/>
  <c r="N1158" i="1"/>
  <c r="M1158" i="1"/>
  <c r="O1157" i="1"/>
  <c r="O1157" i="1" a="1"/>
  <c r="N1157" i="1"/>
  <c r="M1157" i="1"/>
  <c r="O1156" i="1"/>
  <c r="O1156" i="1" a="1"/>
  <c r="N1156" i="1"/>
  <c r="M1156" i="1"/>
  <c r="O1155" i="1" a="1"/>
  <c r="O1155" i="1" s="1"/>
  <c r="N1155" i="1"/>
  <c r="M1155" i="1"/>
  <c r="O1154" i="1" a="1"/>
  <c r="O1154" i="1" s="1"/>
  <c r="N1154" i="1"/>
  <c r="M1154" i="1"/>
  <c r="O1153" i="1"/>
  <c r="O1153" i="1" a="1"/>
  <c r="N1153" i="1"/>
  <c r="M1153" i="1"/>
  <c r="O1152" i="1" a="1"/>
  <c r="O1152" i="1" s="1"/>
  <c r="N1152" i="1"/>
  <c r="M1152" i="1"/>
  <c r="O1151" i="1" a="1"/>
  <c r="O1151" i="1" s="1"/>
  <c r="N1151" i="1"/>
  <c r="M1151" i="1"/>
  <c r="O1150" i="1"/>
  <c r="O1150" i="1" a="1"/>
  <c r="N1150" i="1"/>
  <c r="M1150" i="1"/>
  <c r="O1149" i="1" a="1"/>
  <c r="O1149" i="1" s="1"/>
  <c r="N1149" i="1"/>
  <c r="M1149" i="1"/>
  <c r="O1148" i="1" a="1"/>
  <c r="O1148" i="1" s="1"/>
  <c r="N1148" i="1"/>
  <c r="M1148" i="1"/>
  <c r="O1147" i="1"/>
  <c r="O1147" i="1" a="1"/>
  <c r="N1147" i="1"/>
  <c r="M1147" i="1"/>
  <c r="O1146" i="1" a="1"/>
  <c r="O1146" i="1" s="1"/>
  <c r="N1146" i="1"/>
  <c r="M1146" i="1"/>
  <c r="O1145" i="1"/>
  <c r="O1145" i="1" a="1"/>
  <c r="N1145" i="1"/>
  <c r="M1145" i="1"/>
  <c r="O1144" i="1"/>
  <c r="O1144" i="1" a="1"/>
  <c r="N1144" i="1"/>
  <c r="M1144" i="1"/>
  <c r="O1143" i="1" a="1"/>
  <c r="O1143" i="1" s="1"/>
  <c r="N1143" i="1"/>
  <c r="M1143" i="1"/>
  <c r="O1142" i="1" a="1"/>
  <c r="O1142" i="1" s="1"/>
  <c r="N1142" i="1"/>
  <c r="M1142" i="1"/>
  <c r="O1141" i="1"/>
  <c r="O1141" i="1" a="1"/>
  <c r="N1141" i="1"/>
  <c r="M1141" i="1"/>
  <c r="O1140" i="1" a="1"/>
  <c r="O1140" i="1" s="1"/>
  <c r="N1140" i="1"/>
  <c r="M1140" i="1"/>
  <c r="O1139" i="1"/>
  <c r="O1139" i="1" a="1"/>
  <c r="N1139" i="1"/>
  <c r="M1139" i="1"/>
  <c r="O1138" i="1"/>
  <c r="O1138" i="1" a="1"/>
  <c r="N1138" i="1"/>
  <c r="M1138" i="1"/>
  <c r="O1137" i="1" a="1"/>
  <c r="O1137" i="1" s="1"/>
  <c r="N1137" i="1"/>
  <c r="M1137" i="1"/>
  <c r="O1136" i="1" a="1"/>
  <c r="O1136" i="1" s="1"/>
  <c r="N1136" i="1"/>
  <c r="M1136" i="1"/>
  <c r="O1135" i="1"/>
  <c r="O1135" i="1" a="1"/>
  <c r="N1135" i="1"/>
  <c r="M1135" i="1"/>
  <c r="O1134" i="1" a="1"/>
  <c r="O1134" i="1" s="1"/>
  <c r="N1134" i="1"/>
  <c r="M1134" i="1"/>
  <c r="O1133" i="1"/>
  <c r="O1133" i="1" a="1"/>
  <c r="N1133" i="1"/>
  <c r="M1133" i="1"/>
  <c r="O1132" i="1"/>
  <c r="O1132" i="1" a="1"/>
  <c r="N1132" i="1"/>
  <c r="M1132" i="1"/>
  <c r="O1131" i="1" a="1"/>
  <c r="O1131" i="1" s="1"/>
  <c r="N1131" i="1"/>
  <c r="M1131" i="1"/>
  <c r="O1130" i="1" a="1"/>
  <c r="O1130" i="1" s="1"/>
  <c r="N1130" i="1"/>
  <c r="M1130" i="1"/>
  <c r="O1129" i="1"/>
  <c r="O1129" i="1" a="1"/>
  <c r="N1129" i="1"/>
  <c r="M1129" i="1"/>
  <c r="O1128" i="1" a="1"/>
  <c r="O1128" i="1" s="1"/>
  <c r="N1128" i="1"/>
  <c r="M1128" i="1"/>
  <c r="O1127" i="1" a="1"/>
  <c r="O1127" i="1" s="1"/>
  <c r="N1127" i="1"/>
  <c r="M1127" i="1"/>
  <c r="O1126" i="1"/>
  <c r="O1126" i="1" a="1"/>
  <c r="N1126" i="1"/>
  <c r="M1126" i="1"/>
  <c r="O1125" i="1" a="1"/>
  <c r="O1125" i="1" s="1"/>
  <c r="N1125" i="1"/>
  <c r="M1125" i="1"/>
  <c r="O1124" i="1" a="1"/>
  <c r="O1124" i="1" s="1"/>
  <c r="N1124" i="1"/>
  <c r="M1124" i="1"/>
  <c r="O1123" i="1"/>
  <c r="O1123" i="1" a="1"/>
  <c r="N1123" i="1"/>
  <c r="M1123" i="1"/>
  <c r="O1122" i="1" a="1"/>
  <c r="O1122" i="1" s="1"/>
  <c r="N1122" i="1"/>
  <c r="M1122" i="1"/>
  <c r="O1121" i="1"/>
  <c r="O1121" i="1" a="1"/>
  <c r="N1121" i="1"/>
  <c r="M1121" i="1"/>
  <c r="O1120" i="1"/>
  <c r="O1120" i="1" a="1"/>
  <c r="N1120" i="1"/>
  <c r="M1120" i="1"/>
  <c r="O1119" i="1" a="1"/>
  <c r="O1119" i="1" s="1"/>
  <c r="N1119" i="1"/>
  <c r="M1119" i="1"/>
  <c r="O1118" i="1" a="1"/>
  <c r="O1118" i="1" s="1"/>
  <c r="N1118" i="1"/>
  <c r="M1118" i="1"/>
  <c r="O1117" i="1"/>
  <c r="O1117" i="1" a="1"/>
  <c r="N1117" i="1"/>
  <c r="M1117" i="1"/>
  <c r="O1116" i="1" a="1"/>
  <c r="O1116" i="1" s="1"/>
  <c r="N1116" i="1"/>
  <c r="M1116" i="1"/>
  <c r="O1115" i="1" a="1"/>
  <c r="O1115" i="1" s="1"/>
  <c r="N1115" i="1"/>
  <c r="M1115" i="1"/>
  <c r="O1114" i="1"/>
  <c r="O1114" i="1" a="1"/>
  <c r="N1114" i="1"/>
  <c r="M1114" i="1"/>
  <c r="O1113" i="1" a="1"/>
  <c r="O1113" i="1" s="1"/>
  <c r="N1113" i="1"/>
  <c r="M1113" i="1"/>
  <c r="O1112" i="1" a="1"/>
  <c r="O1112" i="1" s="1"/>
  <c r="N1112" i="1"/>
  <c r="M1112" i="1"/>
  <c r="O1111" i="1"/>
  <c r="O1111" i="1" a="1"/>
  <c r="N1111" i="1"/>
  <c r="M1111" i="1"/>
  <c r="O1110" i="1" a="1"/>
  <c r="O1110" i="1" s="1"/>
  <c r="N1110" i="1"/>
  <c r="M1110" i="1"/>
  <c r="O1109" i="1"/>
  <c r="O1109" i="1" a="1"/>
  <c r="N1109" i="1"/>
  <c r="M1109" i="1"/>
  <c r="O1108" i="1"/>
  <c r="O1108" i="1" a="1"/>
  <c r="N1108" i="1"/>
  <c r="M1108" i="1"/>
  <c r="O1107" i="1" a="1"/>
  <c r="O1107" i="1" s="1"/>
  <c r="N1107" i="1"/>
  <c r="M1107" i="1"/>
  <c r="O1106" i="1" a="1"/>
  <c r="O1106" i="1" s="1"/>
  <c r="N1106" i="1"/>
  <c r="M1106" i="1"/>
  <c r="O1105" i="1"/>
  <c r="O1105" i="1" a="1"/>
  <c r="N1105" i="1"/>
  <c r="M1105" i="1"/>
  <c r="O1104" i="1" a="1"/>
  <c r="O1104" i="1" s="1"/>
  <c r="N1104" i="1"/>
  <c r="M1104" i="1"/>
  <c r="O1103" i="1" a="1"/>
  <c r="O1103" i="1" s="1"/>
  <c r="N1103" i="1"/>
  <c r="M1103" i="1"/>
  <c r="O1102" i="1"/>
  <c r="O1102" i="1" a="1"/>
  <c r="N1102" i="1"/>
  <c r="M1102" i="1"/>
  <c r="O1101" i="1" a="1"/>
  <c r="O1101" i="1" s="1"/>
  <c r="N1101" i="1"/>
  <c r="M1101" i="1"/>
  <c r="O1100" i="1"/>
  <c r="O1100" i="1" a="1"/>
  <c r="N1100" i="1"/>
  <c r="M1100" i="1"/>
  <c r="O1099" i="1"/>
  <c r="O1099" i="1" a="1"/>
  <c r="N1099" i="1"/>
  <c r="M1099" i="1"/>
  <c r="O1098" i="1" a="1"/>
  <c r="O1098" i="1" s="1"/>
  <c r="N1098" i="1"/>
  <c r="M1098" i="1"/>
  <c r="O1097" i="1" a="1"/>
  <c r="O1097" i="1" s="1"/>
  <c r="N1097" i="1"/>
  <c r="M1097" i="1"/>
  <c r="O1096" i="1"/>
  <c r="O1096" i="1" a="1"/>
  <c r="N1096" i="1"/>
  <c r="M1096" i="1"/>
  <c r="O1095" i="1" a="1"/>
  <c r="O1095" i="1" s="1"/>
  <c r="N1095" i="1"/>
  <c r="M1095" i="1"/>
  <c r="O1094" i="1" a="1"/>
  <c r="O1094" i="1" s="1"/>
  <c r="N1094" i="1"/>
  <c r="M1094" i="1"/>
  <c r="O1093" i="1"/>
  <c r="O1093" i="1" a="1"/>
  <c r="N1093" i="1"/>
  <c r="M1093" i="1"/>
  <c r="O1092" i="1" a="1"/>
  <c r="O1092" i="1" s="1"/>
  <c r="N1092" i="1"/>
  <c r="M1092" i="1"/>
  <c r="O1091" i="1" a="1"/>
  <c r="O1091" i="1" s="1"/>
  <c r="N1091" i="1"/>
  <c r="M1091" i="1"/>
  <c r="O1090" i="1"/>
  <c r="O1090" i="1" a="1"/>
  <c r="N1090" i="1"/>
  <c r="M1090" i="1"/>
  <c r="O1089" i="1" a="1"/>
  <c r="O1089" i="1" s="1"/>
  <c r="N1089" i="1"/>
  <c r="M1089" i="1"/>
  <c r="O1088" i="1" a="1"/>
  <c r="O1088" i="1" s="1"/>
  <c r="N1088" i="1"/>
  <c r="M1088" i="1"/>
  <c r="O1087" i="1"/>
  <c r="O1087" i="1" a="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c r="O1081" i="1" a="1"/>
  <c r="N1081" i="1"/>
  <c r="M1081" i="1"/>
  <c r="O1080" i="1" a="1"/>
  <c r="O1080" i="1" s="1"/>
  <c r="N1080" i="1"/>
  <c r="M1080" i="1"/>
  <c r="O1079" i="1" a="1"/>
  <c r="O1079" i="1" s="1"/>
  <c r="N1079" i="1"/>
  <c r="M1079" i="1"/>
  <c r="O1078" i="1"/>
  <c r="O1078" i="1" a="1"/>
  <c r="N1078" i="1"/>
  <c r="M1078" i="1"/>
  <c r="O1077" i="1" a="1"/>
  <c r="O1077" i="1" s="1"/>
  <c r="N1077" i="1"/>
  <c r="M1077" i="1"/>
  <c r="O1076" i="1" a="1"/>
  <c r="O1076" i="1" s="1"/>
  <c r="N1076" i="1"/>
  <c r="M1076" i="1"/>
  <c r="O1075" i="1"/>
  <c r="O1075" i="1" a="1"/>
  <c r="N1075" i="1"/>
  <c r="M1075" i="1"/>
  <c r="O1074" i="1" a="1"/>
  <c r="O1074" i="1" s="1"/>
  <c r="N1074" i="1"/>
  <c r="M1074" i="1"/>
  <c r="O1073" i="1"/>
  <c r="O1073" i="1" a="1"/>
  <c r="N1073" i="1"/>
  <c r="M1073" i="1"/>
  <c r="O1072" i="1"/>
  <c r="O1072" i="1" a="1"/>
  <c r="N1072" i="1"/>
  <c r="M1072" i="1"/>
  <c r="O1071" i="1" a="1"/>
  <c r="O1071" i="1" s="1"/>
  <c r="N1071" i="1"/>
  <c r="M1071" i="1"/>
  <c r="O1070" i="1" a="1"/>
  <c r="O1070" i="1" s="1"/>
  <c r="N1070" i="1"/>
  <c r="M1070" i="1"/>
  <c r="O1069" i="1"/>
  <c r="O1069" i="1" a="1"/>
  <c r="N1069" i="1"/>
  <c r="M1069" i="1"/>
  <c r="O1068" i="1" a="1"/>
  <c r="O1068" i="1" s="1"/>
  <c r="N1068" i="1"/>
  <c r="M1068" i="1"/>
  <c r="O1067" i="1" a="1"/>
  <c r="O1067" i="1" s="1"/>
  <c r="N1067" i="1"/>
  <c r="M1067" i="1"/>
  <c r="O1066" i="1"/>
  <c r="O1066" i="1" a="1"/>
  <c r="N1066" i="1"/>
  <c r="M1066" i="1"/>
  <c r="O1065" i="1" a="1"/>
  <c r="O1065" i="1" s="1"/>
  <c r="N1065" i="1"/>
  <c r="M1065" i="1"/>
  <c r="O1064" i="1" a="1"/>
  <c r="O1064" i="1" s="1"/>
  <c r="N1064" i="1"/>
  <c r="M1064" i="1"/>
  <c r="O1063" i="1"/>
  <c r="O1063" i="1" a="1"/>
  <c r="N1063" i="1"/>
  <c r="M1063" i="1"/>
  <c r="O1062" i="1" a="1"/>
  <c r="O1062" i="1" s="1"/>
  <c r="N1062" i="1"/>
  <c r="M1062" i="1"/>
  <c r="O1061" i="1"/>
  <c r="O1061" i="1" a="1"/>
  <c r="N1061" i="1"/>
  <c r="M1061" i="1"/>
  <c r="O1060" i="1"/>
  <c r="O1060" i="1" a="1"/>
  <c r="N1060" i="1"/>
  <c r="M1060" i="1"/>
  <c r="O1059" i="1" a="1"/>
  <c r="O1059" i="1" s="1"/>
  <c r="N1059" i="1"/>
  <c r="M1059" i="1"/>
  <c r="O1058" i="1" a="1"/>
  <c r="O1058" i="1" s="1"/>
  <c r="N1058" i="1"/>
  <c r="M1058" i="1"/>
  <c r="O1057" i="1"/>
  <c r="O1057" i="1" a="1"/>
  <c r="N1057" i="1"/>
  <c r="M1057" i="1"/>
  <c r="O1056" i="1" a="1"/>
  <c r="O1056" i="1" s="1"/>
  <c r="N1056" i="1"/>
  <c r="M1056" i="1"/>
  <c r="O1055" i="1" a="1"/>
  <c r="O1055" i="1" s="1"/>
  <c r="N1055" i="1"/>
  <c r="M1055" i="1"/>
  <c r="O1054" i="1"/>
  <c r="O1054" i="1" a="1"/>
  <c r="N1054" i="1"/>
  <c r="M1054" i="1"/>
  <c r="O1053" i="1" a="1"/>
  <c r="O1053" i="1" s="1"/>
  <c r="N1053" i="1"/>
  <c r="M1053" i="1"/>
  <c r="O1052" i="1" a="1"/>
  <c r="O1052" i="1" s="1"/>
  <c r="N1052" i="1"/>
  <c r="M1052" i="1"/>
  <c r="O1051" i="1"/>
  <c r="O1051" i="1" a="1"/>
  <c r="N1051" i="1"/>
  <c r="M1051" i="1"/>
  <c r="O1050" i="1" a="1"/>
  <c r="O1050" i="1" s="1"/>
  <c r="N1050" i="1"/>
  <c r="M1050" i="1"/>
  <c r="O1049" i="1"/>
  <c r="O1049" i="1" a="1"/>
  <c r="N1049" i="1"/>
  <c r="M1049" i="1"/>
  <c r="O1048" i="1"/>
  <c r="O1048" i="1" a="1"/>
  <c r="N1048" i="1"/>
  <c r="M1048" i="1"/>
  <c r="O1047" i="1" a="1"/>
  <c r="O1047" i="1" s="1"/>
  <c r="N1047" i="1"/>
  <c r="M1047" i="1"/>
  <c r="O1046" i="1" a="1"/>
  <c r="O1046" i="1" s="1"/>
  <c r="N1046" i="1"/>
  <c r="M1046" i="1"/>
  <c r="O1045" i="1"/>
  <c r="O1045" i="1" a="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c r="O1039" i="1" a="1"/>
  <c r="N1039" i="1"/>
  <c r="M1039" i="1"/>
  <c r="O1038" i="1" a="1"/>
  <c r="O1038" i="1" s="1"/>
  <c r="N1038" i="1"/>
  <c r="M1038" i="1"/>
  <c r="O1037" i="1"/>
  <c r="O1037" i="1" a="1"/>
  <c r="N1037" i="1"/>
  <c r="M1037" i="1"/>
  <c r="O1036" i="1"/>
  <c r="O1036" i="1" a="1"/>
  <c r="N1036" i="1"/>
  <c r="M1036" i="1"/>
  <c r="O1035" i="1" a="1"/>
  <c r="O1035" i="1" s="1"/>
  <c r="N1035" i="1"/>
  <c r="M1035" i="1"/>
  <c r="O1034" i="1" a="1"/>
  <c r="O1034" i="1" s="1"/>
  <c r="N1034" i="1"/>
  <c r="M1034" i="1"/>
  <c r="O1033" i="1"/>
  <c r="O1033" i="1" a="1"/>
  <c r="N1033" i="1"/>
  <c r="M1033" i="1"/>
  <c r="O1032" i="1" a="1"/>
  <c r="O1032" i="1" s="1"/>
  <c r="N1032" i="1"/>
  <c r="M1032" i="1"/>
  <c r="O1031" i="1"/>
  <c r="O1031" i="1" a="1"/>
  <c r="N1031" i="1"/>
  <c r="M1031" i="1"/>
  <c r="O1030" i="1"/>
  <c r="O1030" i="1" a="1"/>
  <c r="N1030" i="1"/>
  <c r="M1030" i="1"/>
  <c r="O1029" i="1" a="1"/>
  <c r="O1029" i="1" s="1"/>
  <c r="N1029" i="1"/>
  <c r="M1029" i="1"/>
  <c r="O1028" i="1" a="1"/>
  <c r="O1028" i="1" s="1"/>
  <c r="N1028" i="1"/>
  <c r="M1028" i="1"/>
  <c r="O1027" i="1"/>
  <c r="O1027" i="1" a="1"/>
  <c r="N1027" i="1"/>
  <c r="M1027" i="1"/>
  <c r="O1026" i="1" a="1"/>
  <c r="O1026" i="1" s="1"/>
  <c r="N1026" i="1"/>
  <c r="M1026" i="1"/>
  <c r="O1025" i="1" a="1"/>
  <c r="O1025" i="1" s="1"/>
  <c r="N1025" i="1"/>
  <c r="M1025" i="1"/>
  <c r="O1024" i="1"/>
  <c r="O1024" i="1" a="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c r="O1018" i="1" a="1"/>
  <c r="N1018" i="1"/>
  <c r="M1018" i="1"/>
  <c r="O1017" i="1" a="1"/>
  <c r="O1017" i="1" s="1"/>
  <c r="N1017" i="1"/>
  <c r="M1017" i="1"/>
  <c r="O1016" i="1" a="1"/>
  <c r="O1016" i="1" s="1"/>
  <c r="N1016" i="1"/>
  <c r="M1016" i="1"/>
  <c r="O1015" i="1"/>
  <c r="O1015" i="1" a="1"/>
  <c r="N1015" i="1"/>
  <c r="M1015" i="1"/>
  <c r="O1014" i="1" a="1"/>
  <c r="O1014" i="1" s="1"/>
  <c r="N1014" i="1"/>
  <c r="M1014" i="1"/>
  <c r="O1013" i="1"/>
  <c r="O1013" i="1" a="1"/>
  <c r="N1013" i="1"/>
  <c r="M1013" i="1"/>
  <c r="O1012" i="1"/>
  <c r="O1012" i="1" a="1"/>
  <c r="N1012" i="1"/>
  <c r="M1012" i="1"/>
  <c r="O1011" i="1" a="1"/>
  <c r="O1011" i="1" s="1"/>
  <c r="N1011" i="1"/>
  <c r="M1011" i="1"/>
  <c r="O1010" i="1" a="1"/>
  <c r="O1010" i="1" s="1"/>
  <c r="N1010" i="1"/>
  <c r="M1010" i="1"/>
  <c r="O1009" i="1"/>
  <c r="O1009" i="1" a="1"/>
  <c r="N1009" i="1"/>
  <c r="M1009" i="1"/>
  <c r="O1008" i="1" a="1"/>
  <c r="O1008" i="1" s="1"/>
  <c r="N1008" i="1"/>
  <c r="M1008" i="1"/>
  <c r="O1007" i="1" a="1"/>
  <c r="O1007" i="1" s="1"/>
  <c r="N1007" i="1"/>
  <c r="M1007" i="1"/>
  <c r="O1006" i="1"/>
  <c r="O1006" i="1" a="1"/>
  <c r="N1006" i="1"/>
  <c r="M1006" i="1"/>
  <c r="O1005" i="1" a="1"/>
  <c r="O1005" i="1" s="1"/>
  <c r="N1005" i="1"/>
  <c r="M1005" i="1"/>
  <c r="O1004" i="1" a="1"/>
  <c r="O1004" i="1" s="1"/>
  <c r="N1004" i="1"/>
  <c r="M1004" i="1"/>
  <c r="O1003" i="1"/>
  <c r="O1003" i="1" a="1"/>
  <c r="N1003" i="1"/>
  <c r="M1003" i="1"/>
  <c r="O1002" i="1" a="1"/>
  <c r="O1002" i="1" s="1"/>
  <c r="N1002" i="1"/>
  <c r="M1002" i="1"/>
  <c r="O1001" i="1"/>
  <c r="O1001" i="1" a="1"/>
  <c r="N1001" i="1"/>
  <c r="M1001" i="1"/>
  <c r="O1000" i="1"/>
  <c r="O1000" i="1" a="1"/>
  <c r="N1000" i="1"/>
  <c r="M1000" i="1"/>
  <c r="O999" i="1" a="1"/>
  <c r="O999" i="1" s="1"/>
  <c r="N999" i="1"/>
  <c r="M999" i="1"/>
  <c r="O998" i="1" a="1"/>
  <c r="O998" i="1" s="1"/>
  <c r="N998" i="1"/>
  <c r="M998" i="1"/>
  <c r="O997" i="1"/>
  <c r="O997" i="1" a="1"/>
  <c r="N997" i="1"/>
  <c r="M997" i="1"/>
  <c r="O996" i="1" a="1"/>
  <c r="O996" i="1" s="1"/>
  <c r="N996" i="1"/>
  <c r="M996" i="1"/>
  <c r="O995" i="1" a="1"/>
  <c r="O995" i="1" s="1"/>
  <c r="N995" i="1"/>
  <c r="M995" i="1"/>
  <c r="O994" i="1"/>
  <c r="O994" i="1" a="1"/>
  <c r="N994" i="1"/>
  <c r="M994" i="1"/>
  <c r="O993" i="1" a="1"/>
  <c r="O993" i="1" s="1"/>
  <c r="N993" i="1"/>
  <c r="M993" i="1"/>
  <c r="O992" i="1" a="1"/>
  <c r="O992" i="1" s="1"/>
  <c r="N992" i="1"/>
  <c r="M992" i="1"/>
  <c r="O991" i="1"/>
  <c r="O991" i="1" a="1"/>
  <c r="N991" i="1"/>
  <c r="M991" i="1"/>
  <c r="O990" i="1" a="1"/>
  <c r="O990" i="1" s="1"/>
  <c r="N990" i="1"/>
  <c r="M990" i="1"/>
  <c r="O989" i="1" a="1"/>
  <c r="O989" i="1" s="1"/>
  <c r="N989" i="1"/>
  <c r="M989" i="1"/>
  <c r="O988" i="1"/>
  <c r="O988" i="1" a="1"/>
  <c r="N988" i="1"/>
  <c r="M988" i="1"/>
  <c r="O987" i="1" a="1"/>
  <c r="O987" i="1" s="1"/>
  <c r="N987" i="1"/>
  <c r="M987" i="1"/>
  <c r="O986" i="1" a="1"/>
  <c r="O986" i="1" s="1"/>
  <c r="N986" i="1"/>
  <c r="M986" i="1"/>
  <c r="O985" i="1"/>
  <c r="O985" i="1" a="1"/>
  <c r="N985" i="1"/>
  <c r="M985" i="1"/>
  <c r="O984" i="1" a="1"/>
  <c r="O984" i="1" s="1"/>
  <c r="N984" i="1"/>
  <c r="M984" i="1"/>
  <c r="O983" i="1" a="1"/>
  <c r="O983" i="1" s="1"/>
  <c r="N983" i="1"/>
  <c r="M983" i="1"/>
  <c r="O982" i="1"/>
  <c r="O982" i="1" a="1"/>
  <c r="N982" i="1"/>
  <c r="M982" i="1"/>
  <c r="O981" i="1" a="1"/>
  <c r="O981" i="1" s="1"/>
  <c r="N981" i="1"/>
  <c r="M981" i="1"/>
  <c r="O980" i="1" a="1"/>
  <c r="O980" i="1" s="1"/>
  <c r="N980" i="1"/>
  <c r="M980" i="1"/>
  <c r="O979" i="1"/>
  <c r="O979" i="1" a="1"/>
  <c r="N979" i="1"/>
  <c r="M979" i="1"/>
  <c r="O978" i="1" a="1"/>
  <c r="O978" i="1" s="1"/>
  <c r="N978" i="1"/>
  <c r="M978" i="1"/>
  <c r="O977" i="1"/>
  <c r="O977" i="1" a="1"/>
  <c r="N977" i="1"/>
  <c r="M977" i="1"/>
  <c r="O976" i="1"/>
  <c r="O976" i="1" a="1"/>
  <c r="N976" i="1"/>
  <c r="M976" i="1"/>
  <c r="O975" i="1" a="1"/>
  <c r="O975" i="1" s="1"/>
  <c r="N975" i="1"/>
  <c r="M975" i="1"/>
  <c r="O974" i="1" a="1"/>
  <c r="O974" i="1" s="1"/>
  <c r="N974" i="1"/>
  <c r="M974" i="1"/>
  <c r="O973" i="1"/>
  <c r="O973" i="1" a="1"/>
  <c r="N973" i="1"/>
  <c r="M973" i="1"/>
  <c r="O972" i="1" a="1"/>
  <c r="O972" i="1" s="1"/>
  <c r="N972" i="1"/>
  <c r="M972" i="1"/>
  <c r="O971" i="1" a="1"/>
  <c r="O971" i="1" s="1"/>
  <c r="N971" i="1"/>
  <c r="M971" i="1"/>
  <c r="O970" i="1"/>
  <c r="O970" i="1" a="1"/>
  <c r="N970" i="1"/>
  <c r="M970" i="1"/>
  <c r="O969" i="1" a="1"/>
  <c r="O969" i="1" s="1"/>
  <c r="N969" i="1"/>
  <c r="M969" i="1"/>
  <c r="O968" i="1" a="1"/>
  <c r="O968" i="1" s="1"/>
  <c r="N968" i="1"/>
  <c r="M968" i="1"/>
  <c r="O967" i="1"/>
  <c r="O967" i="1" a="1"/>
  <c r="N967" i="1"/>
  <c r="M967" i="1"/>
  <c r="O966" i="1" a="1"/>
  <c r="O966" i="1" s="1"/>
  <c r="N966" i="1"/>
  <c r="M966" i="1"/>
  <c r="O965" i="1"/>
  <c r="O965" i="1" a="1"/>
  <c r="N965" i="1"/>
  <c r="M965" i="1"/>
  <c r="O964" i="1"/>
  <c r="O964" i="1" a="1"/>
  <c r="N964" i="1"/>
  <c r="M964" i="1"/>
  <c r="O963" i="1" a="1"/>
  <c r="O963" i="1" s="1"/>
  <c r="N963" i="1"/>
  <c r="M963" i="1"/>
  <c r="O962" i="1"/>
  <c r="O962" i="1" a="1"/>
  <c r="N962" i="1"/>
  <c r="M962" i="1"/>
  <c r="O961" i="1"/>
  <c r="O961" i="1" a="1"/>
  <c r="N961" i="1"/>
  <c r="M961" i="1"/>
  <c r="O960" i="1" a="1"/>
  <c r="O960" i="1" s="1"/>
  <c r="N960" i="1"/>
  <c r="M960" i="1"/>
  <c r="O959" i="1" a="1"/>
  <c r="O959" i="1" s="1"/>
  <c r="N959" i="1"/>
  <c r="M959" i="1"/>
  <c r="O958" i="1"/>
  <c r="O958" i="1" a="1"/>
  <c r="N958" i="1"/>
  <c r="M958" i="1"/>
  <c r="O957" i="1" a="1"/>
  <c r="O957" i="1" s="1"/>
  <c r="N957" i="1"/>
  <c r="M957" i="1"/>
  <c r="O956" i="1" a="1"/>
  <c r="O956" i="1" s="1"/>
  <c r="N956" i="1"/>
  <c r="M956" i="1"/>
  <c r="O955" i="1"/>
  <c r="O955" i="1" a="1"/>
  <c r="N955" i="1"/>
  <c r="M955" i="1"/>
  <c r="O954" i="1" a="1"/>
  <c r="O954" i="1" s="1"/>
  <c r="N954" i="1"/>
  <c r="M954" i="1"/>
  <c r="O953" i="1" a="1"/>
  <c r="O953" i="1" s="1"/>
  <c r="N953" i="1"/>
  <c r="M953" i="1"/>
  <c r="O952" i="1"/>
  <c r="O952" i="1" a="1"/>
  <c r="N952" i="1"/>
  <c r="M952" i="1"/>
  <c r="O951" i="1" a="1"/>
  <c r="O951" i="1" s="1"/>
  <c r="N951" i="1"/>
  <c r="M951" i="1"/>
  <c r="O950" i="1" a="1"/>
  <c r="O950" i="1" s="1"/>
  <c r="N950" i="1"/>
  <c r="M950" i="1"/>
  <c r="O949" i="1"/>
  <c r="O949" i="1" a="1"/>
  <c r="N949" i="1"/>
  <c r="M949" i="1"/>
  <c r="O948" i="1" a="1"/>
  <c r="O948" i="1" s="1"/>
  <c r="N948" i="1"/>
  <c r="M948" i="1"/>
  <c r="O947" i="1" a="1"/>
  <c r="O947" i="1" s="1"/>
  <c r="N947" i="1"/>
  <c r="M947" i="1"/>
  <c r="O946" i="1"/>
  <c r="O946" i="1" a="1"/>
  <c r="N946" i="1"/>
  <c r="M946" i="1"/>
  <c r="O945" i="1" a="1"/>
  <c r="O945" i="1" s="1"/>
  <c r="N945" i="1"/>
  <c r="M945" i="1"/>
  <c r="O944" i="1" a="1"/>
  <c r="O944" i="1" s="1"/>
  <c r="N944" i="1"/>
  <c r="M944" i="1"/>
  <c r="O943" i="1"/>
  <c r="O943" i="1" a="1"/>
  <c r="N943" i="1"/>
  <c r="M943" i="1"/>
  <c r="O942" i="1" a="1"/>
  <c r="O942" i="1" s="1"/>
  <c r="N942" i="1"/>
  <c r="M942" i="1"/>
  <c r="O941" i="1"/>
  <c r="O941" i="1" a="1"/>
  <c r="N941" i="1"/>
  <c r="M941" i="1"/>
  <c r="O940" i="1"/>
  <c r="O940" i="1" a="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a="1"/>
  <c r="O933" i="1" s="1"/>
  <c r="N933" i="1"/>
  <c r="M933" i="1"/>
  <c r="O932" i="1"/>
  <c r="O932" i="1" a="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c r="O917" i="1" a="1"/>
  <c r="N917" i="1"/>
  <c r="M917" i="1"/>
  <c r="O916" i="1" a="1"/>
  <c r="O916" i="1" s="1"/>
  <c r="N916" i="1"/>
  <c r="M916" i="1"/>
  <c r="O915" i="1"/>
  <c r="O915" i="1" a="1"/>
  <c r="N915" i="1"/>
  <c r="M915" i="1"/>
  <c r="O914" i="1"/>
  <c r="O914" i="1" a="1"/>
  <c r="N914" i="1"/>
  <c r="M914" i="1"/>
  <c r="O913" i="1" a="1"/>
  <c r="O913" i="1" s="1"/>
  <c r="N913" i="1"/>
  <c r="M913" i="1"/>
  <c r="O912" i="1"/>
  <c r="O912" i="1" a="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c r="O906" i="1" a="1"/>
  <c r="N906" i="1"/>
  <c r="M906" i="1"/>
  <c r="O905" i="1" a="1"/>
  <c r="O905" i="1" s="1"/>
  <c r="N905" i="1"/>
  <c r="M905" i="1"/>
  <c r="O904" i="1" a="1"/>
  <c r="O904" i="1" s="1"/>
  <c r="N904" i="1"/>
  <c r="M904" i="1"/>
  <c r="O903" i="1" a="1"/>
  <c r="O903" i="1" s="1"/>
  <c r="N903" i="1"/>
  <c r="M903" i="1"/>
  <c r="O902" i="1"/>
  <c r="O902" i="1" a="1"/>
  <c r="N902" i="1"/>
  <c r="M902" i="1"/>
  <c r="O901" i="1" a="1"/>
  <c r="O901" i="1" s="1"/>
  <c r="N901" i="1"/>
  <c r="M901" i="1"/>
  <c r="O900" i="1" a="1"/>
  <c r="O900" i="1" s="1"/>
  <c r="N900" i="1"/>
  <c r="M900" i="1"/>
  <c r="O899" i="1"/>
  <c r="O899" i="1" a="1"/>
  <c r="N899" i="1"/>
  <c r="M899" i="1"/>
  <c r="O898" i="1" a="1"/>
  <c r="O898" i="1" s="1"/>
  <c r="N898" i="1"/>
  <c r="M898" i="1"/>
  <c r="O897" i="1" a="1"/>
  <c r="O897" i="1" s="1"/>
  <c r="N897" i="1"/>
  <c r="M897" i="1"/>
  <c r="O896" i="1" a="1"/>
  <c r="O896" i="1" s="1"/>
  <c r="N896" i="1"/>
  <c r="M896" i="1"/>
  <c r="O895" i="1" a="1"/>
  <c r="O895" i="1" s="1"/>
  <c r="N895" i="1"/>
  <c r="M895" i="1"/>
  <c r="O894" i="1"/>
  <c r="O894" i="1" a="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c r="O879" i="1" a="1"/>
  <c r="N879" i="1"/>
  <c r="M879" i="1"/>
  <c r="O878" i="1"/>
  <c r="O878" i="1" a="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c r="O872" i="1" a="1"/>
  <c r="N872" i="1"/>
  <c r="M872" i="1"/>
  <c r="O871" i="1" a="1"/>
  <c r="O871" i="1" s="1"/>
  <c r="N871" i="1"/>
  <c r="M871" i="1"/>
  <c r="O870" i="1" a="1"/>
  <c r="O870" i="1" s="1"/>
  <c r="N870" i="1"/>
  <c r="M870" i="1"/>
  <c r="O869" i="1" a="1"/>
  <c r="O869" i="1" s="1"/>
  <c r="N869" i="1"/>
  <c r="M869" i="1"/>
  <c r="O868" i="1" a="1"/>
  <c r="O868" i="1" s="1"/>
  <c r="N868" i="1"/>
  <c r="M868" i="1"/>
  <c r="O867" i="1"/>
  <c r="O867" i="1" a="1"/>
  <c r="N867" i="1"/>
  <c r="M867" i="1"/>
  <c r="O866" i="1"/>
  <c r="O866" i="1" a="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c r="O845" i="1" a="1"/>
  <c r="N845" i="1"/>
  <c r="M845" i="1"/>
  <c r="O844" i="1" a="1"/>
  <c r="O844" i="1" s="1"/>
  <c r="N844" i="1"/>
  <c r="M844" i="1"/>
  <c r="O843" i="1"/>
  <c r="O843" i="1" a="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c r="O831" i="1" a="1"/>
  <c r="N831" i="1"/>
  <c r="M831" i="1"/>
  <c r="O830" i="1"/>
  <c r="O830" i="1" a="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c r="O824" i="1" a="1"/>
  <c r="N824" i="1"/>
  <c r="M824" i="1"/>
  <c r="O823" i="1" a="1"/>
  <c r="O823" i="1" s="1"/>
  <c r="N823" i="1"/>
  <c r="M823" i="1"/>
  <c r="O822" i="1"/>
  <c r="O822" i="1" a="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c r="O809" i="1" a="1"/>
  <c r="N809" i="1"/>
  <c r="M809" i="1"/>
  <c r="O808" i="1" a="1"/>
  <c r="O808" i="1" s="1"/>
  <c r="N808" i="1"/>
  <c r="M808" i="1"/>
  <c r="O807" i="1"/>
  <c r="O807" i="1" a="1"/>
  <c r="N807" i="1"/>
  <c r="M807" i="1"/>
  <c r="O806" i="1"/>
  <c r="O806" i="1" a="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c r="O794" i="1" a="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c r="O786" i="1" a="1"/>
  <c r="N786" i="1"/>
  <c r="M786" i="1"/>
  <c r="O785" i="1"/>
  <c r="O785" i="1" a="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c r="O774" i="1" a="1"/>
  <c r="N774" i="1"/>
  <c r="M774" i="1"/>
  <c r="O773" i="1"/>
  <c r="O773" i="1" a="1"/>
  <c r="N773" i="1"/>
  <c r="M773" i="1"/>
  <c r="O772" i="1" a="1"/>
  <c r="O772" i="1" s="1"/>
  <c r="N772" i="1"/>
  <c r="M772" i="1"/>
  <c r="O771" i="1" a="1"/>
  <c r="O771" i="1" s="1"/>
  <c r="N771" i="1"/>
  <c r="M771" i="1"/>
  <c r="O770" i="1"/>
  <c r="O770" i="1" a="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c r="O761" i="1" a="1"/>
  <c r="N761" i="1"/>
  <c r="M761" i="1"/>
  <c r="O760" i="1" a="1"/>
  <c r="O760" i="1" s="1"/>
  <c r="N760" i="1"/>
  <c r="M760" i="1"/>
  <c r="O759" i="1"/>
  <c r="O759" i="1" a="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c r="O752" i="1" a="1"/>
  <c r="N752" i="1"/>
  <c r="M752" i="1"/>
  <c r="O751" i="1" a="1"/>
  <c r="O751" i="1" s="1"/>
  <c r="N751" i="1"/>
  <c r="M751" i="1"/>
  <c r="O750" i="1"/>
  <c r="O750" i="1" a="1"/>
  <c r="N750" i="1"/>
  <c r="M750" i="1"/>
  <c r="O749" i="1"/>
  <c r="O749" i="1" a="1"/>
  <c r="N749" i="1"/>
  <c r="M749" i="1"/>
  <c r="O748" i="1" a="1"/>
  <c r="O748" i="1" s="1"/>
  <c r="N748" i="1"/>
  <c r="M748" i="1"/>
  <c r="O747" i="1"/>
  <c r="O747" i="1" a="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c r="O738" i="1" a="1"/>
  <c r="N738" i="1"/>
  <c r="M738" i="1"/>
  <c r="O737" i="1"/>
  <c r="O737" i="1" a="1"/>
  <c r="N737" i="1"/>
  <c r="M737" i="1"/>
  <c r="O736" i="1" a="1"/>
  <c r="O736" i="1" s="1"/>
  <c r="N736" i="1"/>
  <c r="M736" i="1"/>
  <c r="O735" i="1"/>
  <c r="O735" i="1" a="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c r="O725" i="1" a="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c r="O714" i="1" a="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c r="O707" i="1" a="1"/>
  <c r="N707" i="1"/>
  <c r="M707" i="1"/>
  <c r="O706" i="1" a="1"/>
  <c r="O706" i="1" s="1"/>
  <c r="N706" i="1"/>
  <c r="M706" i="1"/>
  <c r="O705" i="1"/>
  <c r="O705" i="1" a="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a="1"/>
  <c r="O693" i="1" s="1"/>
  <c r="N693" i="1"/>
  <c r="M693" i="1"/>
  <c r="O692" i="1"/>
  <c r="O692" i="1" a="1"/>
  <c r="N692" i="1"/>
  <c r="M692" i="1"/>
  <c r="O691" i="1" a="1"/>
  <c r="O691" i="1" s="1"/>
  <c r="N691" i="1"/>
  <c r="M691" i="1"/>
  <c r="O690" i="1" a="1"/>
  <c r="O690" i="1" s="1"/>
  <c r="N690" i="1"/>
  <c r="M690" i="1"/>
  <c r="O689" i="1" a="1"/>
  <c r="O689" i="1" s="1"/>
  <c r="N689" i="1"/>
  <c r="M689" i="1"/>
  <c r="O688" i="1" a="1"/>
  <c r="O688" i="1" s="1"/>
  <c r="N688" i="1"/>
  <c r="M688" i="1"/>
  <c r="O687" i="1"/>
  <c r="O687" i="1" a="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c r="O678" i="1" a="1"/>
  <c r="N678" i="1"/>
  <c r="M678" i="1"/>
  <c r="O677" i="1"/>
  <c r="O677" i="1" a="1"/>
  <c r="N677" i="1"/>
  <c r="M677" i="1"/>
  <c r="O676" i="1" a="1"/>
  <c r="O676" i="1" s="1"/>
  <c r="N676" i="1"/>
  <c r="M676" i="1"/>
  <c r="O675" i="1" a="1"/>
  <c r="O675" i="1" s="1"/>
  <c r="N675" i="1"/>
  <c r="M675" i="1"/>
  <c r="O674" i="1"/>
  <c r="O674" i="1" a="1"/>
  <c r="N674" i="1"/>
  <c r="M674" i="1"/>
  <c r="O673" i="1" a="1"/>
  <c r="O673" i="1" s="1"/>
  <c r="N673" i="1"/>
  <c r="M673" i="1"/>
  <c r="O672" i="1" a="1"/>
  <c r="O672" i="1" s="1"/>
  <c r="N672" i="1"/>
  <c r="M672" i="1"/>
  <c r="O671" i="1"/>
  <c r="O671" i="1" a="1"/>
  <c r="N671" i="1"/>
  <c r="M671" i="1"/>
  <c r="O670" i="1" a="1"/>
  <c r="O670" i="1" s="1"/>
  <c r="N670" i="1"/>
  <c r="M670" i="1"/>
  <c r="O669" i="1"/>
  <c r="O669" i="1" a="1"/>
  <c r="N669" i="1"/>
  <c r="M669" i="1"/>
  <c r="O668" i="1" a="1"/>
  <c r="O668" i="1" s="1"/>
  <c r="N668" i="1"/>
  <c r="M668" i="1"/>
  <c r="O667" i="1" a="1"/>
  <c r="O667" i="1" s="1"/>
  <c r="N667" i="1"/>
  <c r="M667" i="1"/>
  <c r="O666" i="1" a="1"/>
  <c r="O666" i="1" s="1"/>
  <c r="N666" i="1"/>
  <c r="M666" i="1"/>
  <c r="O665" i="1"/>
  <c r="O665" i="1" a="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c r="O657" i="1" a="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c r="O651" i="1" a="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c r="O644" i="1" a="1"/>
  <c r="N644" i="1"/>
  <c r="M644" i="1"/>
  <c r="O643" i="1" a="1"/>
  <c r="O643" i="1" s="1"/>
  <c r="N643" i="1"/>
  <c r="M643" i="1"/>
  <c r="O642" i="1" a="1"/>
  <c r="O642" i="1" s="1"/>
  <c r="N642" i="1"/>
  <c r="M642" i="1"/>
  <c r="O641" i="1" a="1"/>
  <c r="O641" i="1" s="1"/>
  <c r="N641" i="1"/>
  <c r="M641" i="1"/>
  <c r="O640" i="1" a="1"/>
  <c r="O640" i="1" s="1"/>
  <c r="N640" i="1"/>
  <c r="M640" i="1"/>
  <c r="O639" i="1"/>
  <c r="O639" i="1" a="1"/>
  <c r="N639" i="1"/>
  <c r="M639" i="1"/>
  <c r="O638" i="1" a="1"/>
  <c r="O638" i="1" s="1"/>
  <c r="N638" i="1"/>
  <c r="M638" i="1"/>
  <c r="O637" i="1" a="1"/>
  <c r="O637" i="1" s="1"/>
  <c r="N637" i="1"/>
  <c r="M637" i="1"/>
  <c r="O636" i="1"/>
  <c r="O636" i="1" a="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c r="O621" i="1" a="1"/>
  <c r="N621" i="1"/>
  <c r="M621" i="1"/>
  <c r="O620" i="1"/>
  <c r="O620" i="1" a="1"/>
  <c r="N620" i="1"/>
  <c r="M620" i="1"/>
  <c r="O619" i="1" a="1"/>
  <c r="O619" i="1" s="1"/>
  <c r="N619" i="1"/>
  <c r="M619" i="1"/>
  <c r="O618" i="1" a="1"/>
  <c r="O618" i="1" s="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c r="O606" i="1" a="1"/>
  <c r="N606" i="1"/>
  <c r="M606" i="1"/>
  <c r="O605" i="1"/>
  <c r="O605" i="1" a="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c r="O585" i="1" a="1"/>
  <c r="N585" i="1"/>
  <c r="M585" i="1"/>
  <c r="O584" i="1" a="1"/>
  <c r="O584" i="1" s="1"/>
  <c r="N584" i="1"/>
  <c r="M584" i="1"/>
  <c r="O583" i="1" a="1"/>
  <c r="O583" i="1" s="1"/>
  <c r="N583" i="1"/>
  <c r="M583" i="1"/>
  <c r="O582" i="1"/>
  <c r="O582" i="1" a="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c r="O572" i="1" a="1"/>
  <c r="N572" i="1"/>
  <c r="M572" i="1"/>
  <c r="O571" i="1" a="1"/>
  <c r="O571" i="1" s="1"/>
  <c r="N571" i="1"/>
  <c r="M571" i="1"/>
  <c r="O570" i="1" a="1"/>
  <c r="O570" i="1" s="1"/>
  <c r="N570" i="1"/>
  <c r="M570" i="1"/>
  <c r="O569" i="1" a="1"/>
  <c r="O569" i="1" s="1"/>
  <c r="N569" i="1"/>
  <c r="M569" i="1"/>
  <c r="O568" i="1" a="1"/>
  <c r="O568" i="1" s="1"/>
  <c r="N568" i="1"/>
  <c r="M568" i="1"/>
  <c r="O567" i="1"/>
  <c r="O567" i="1" a="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c r="O560" i="1" a="1"/>
  <c r="N560" i="1"/>
  <c r="M560" i="1"/>
  <c r="O559" i="1" a="1"/>
  <c r="O559" i="1" s="1"/>
  <c r="N559" i="1"/>
  <c r="M559" i="1"/>
  <c r="O558" i="1" a="1"/>
  <c r="O558" i="1" s="1"/>
  <c r="N558" i="1"/>
  <c r="M558" i="1"/>
  <c r="O557" i="1"/>
  <c r="O557" i="1" a="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c r="O549" i="1" a="1"/>
  <c r="N549" i="1"/>
  <c r="M549" i="1"/>
  <c r="O548" i="1" a="1"/>
  <c r="O548" i="1" s="1"/>
  <c r="N548" i="1"/>
  <c r="M548" i="1"/>
  <c r="O547" i="1" a="1"/>
  <c r="O547" i="1" s="1"/>
  <c r="N547" i="1"/>
  <c r="M547" i="1"/>
  <c r="O546" i="1"/>
  <c r="O546" i="1" a="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c r="O536" i="1" a="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c r="O527" i="1" a="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c r="O515" i="1" a="1"/>
  <c r="N515" i="1"/>
  <c r="M515" i="1"/>
  <c r="O514" i="1" a="1"/>
  <c r="O514" i="1" s="1"/>
  <c r="N514" i="1"/>
  <c r="M514" i="1"/>
  <c r="O513" i="1"/>
  <c r="O513" i="1" a="1"/>
  <c r="N513" i="1"/>
  <c r="M513" i="1"/>
  <c r="O512" i="1"/>
  <c r="O512" i="1" a="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c r="O500" i="1" a="1"/>
  <c r="N500" i="1"/>
  <c r="M500" i="1"/>
  <c r="O499" i="1" a="1"/>
  <c r="O499" i="1" s="1"/>
  <c r="N499" i="1"/>
  <c r="M499" i="1"/>
  <c r="O498" i="1"/>
  <c r="O498" i="1" a="1"/>
  <c r="N498" i="1"/>
  <c r="M498" i="1"/>
  <c r="O497" i="1" a="1"/>
  <c r="O497" i="1" s="1"/>
  <c r="N497" i="1"/>
  <c r="M497" i="1"/>
  <c r="O496" i="1" a="1"/>
  <c r="O496" i="1" s="1"/>
  <c r="N496" i="1"/>
  <c r="M496" i="1"/>
  <c r="O495" i="1"/>
  <c r="O495" i="1" a="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c r="O485" i="1" a="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c r="O477" i="1" a="1"/>
  <c r="N477" i="1"/>
  <c r="M477" i="1"/>
  <c r="O476" i="1"/>
  <c r="O476" i="1" a="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c r="O464" i="1" a="1"/>
  <c r="N464" i="1"/>
  <c r="M464" i="1"/>
  <c r="O463" i="1" a="1"/>
  <c r="O463" i="1" s="1"/>
  <c r="N463" i="1"/>
  <c r="M463" i="1"/>
  <c r="O462" i="1" a="1"/>
  <c r="O462" i="1" s="1"/>
  <c r="N462" i="1"/>
  <c r="M462" i="1"/>
  <c r="O461" i="1"/>
  <c r="O461" i="1" a="1"/>
  <c r="N461" i="1"/>
  <c r="M461" i="1"/>
  <c r="O460" i="1" a="1"/>
  <c r="O460" i="1" s="1"/>
  <c r="N460" i="1"/>
  <c r="M460" i="1"/>
  <c r="O459" i="1"/>
  <c r="O459" i="1" a="1"/>
  <c r="N459" i="1"/>
  <c r="M459" i="1"/>
  <c r="O458" i="1"/>
  <c r="O458" i="1" a="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c r="O446" i="1" a="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c r="O438" i="1" a="1"/>
  <c r="N438" i="1"/>
  <c r="M438" i="1"/>
  <c r="O437" i="1" a="1"/>
  <c r="O437" i="1" s="1"/>
  <c r="N437" i="1"/>
  <c r="M437" i="1"/>
  <c r="O436" i="1" a="1"/>
  <c r="O436" i="1" s="1"/>
  <c r="N436" i="1"/>
  <c r="M436" i="1"/>
  <c r="O435" i="1"/>
  <c r="O435" i="1" a="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c r="O425" i="1" a="1"/>
  <c r="N425" i="1"/>
  <c r="M425" i="1"/>
  <c r="O424" i="1" a="1"/>
  <c r="O424" i="1" s="1"/>
  <c r="N424" i="1"/>
  <c r="M424" i="1"/>
  <c r="O423" i="1"/>
  <c r="O423" i="1" a="1"/>
  <c r="N423" i="1"/>
  <c r="M423" i="1"/>
  <c r="O422" i="1"/>
  <c r="O422" i="1" a="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c r="O410" i="1" a="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c r="O402" i="1" a="1"/>
  <c r="N402" i="1"/>
  <c r="M402" i="1"/>
  <c r="O401" i="1" a="1"/>
  <c r="O401" i="1" s="1"/>
  <c r="N401" i="1"/>
  <c r="M401" i="1"/>
  <c r="O400" i="1" a="1"/>
  <c r="O400" i="1" s="1"/>
  <c r="N400" i="1"/>
  <c r="M400" i="1"/>
  <c r="O399" i="1"/>
  <c r="O399" i="1" a="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c r="O389" i="1" a="1"/>
  <c r="N389" i="1"/>
  <c r="M389" i="1"/>
  <c r="O388" i="1" a="1"/>
  <c r="O388" i="1" s="1"/>
  <c r="N388" i="1"/>
  <c r="M388" i="1"/>
  <c r="O387" i="1"/>
  <c r="O387" i="1" a="1"/>
  <c r="N387" i="1"/>
  <c r="M387" i="1"/>
  <c r="O386" i="1"/>
  <c r="O386" i="1" a="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c r="O374" i="1" a="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c r="O353" i="1" a="1"/>
  <c r="N353" i="1"/>
  <c r="M353" i="1"/>
  <c r="O352" i="1" a="1"/>
  <c r="O352" i="1" s="1"/>
  <c r="N352" i="1"/>
  <c r="M352" i="1"/>
  <c r="O351" i="1"/>
  <c r="O351" i="1" a="1"/>
  <c r="N351" i="1"/>
  <c r="M351" i="1"/>
  <c r="O350" i="1"/>
  <c r="O350" i="1" a="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c r="O338" i="1" a="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c r="O330" i="1" a="1"/>
  <c r="N330" i="1"/>
  <c r="M330" i="1"/>
  <c r="O329" i="1" a="1"/>
  <c r="O329" i="1" s="1"/>
  <c r="N329" i="1"/>
  <c r="M329" i="1"/>
  <c r="O328" i="1" a="1"/>
  <c r="O328" i="1" s="1"/>
  <c r="N328" i="1"/>
  <c r="M328" i="1"/>
  <c r="O327" i="1"/>
  <c r="O327" i="1" a="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c r="O317" i="1" a="1"/>
  <c r="N317" i="1"/>
  <c r="M317" i="1"/>
  <c r="O316" i="1" a="1"/>
  <c r="O316" i="1" s="1"/>
  <c r="N316" i="1"/>
  <c r="M316" i="1"/>
  <c r="O315" i="1"/>
  <c r="O315" i="1" a="1"/>
  <c r="N315" i="1"/>
  <c r="M315" i="1"/>
  <c r="O314" i="1"/>
  <c r="O314" i="1" a="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c r="O302" i="1" a="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c r="O294" i="1" a="1"/>
  <c r="N294" i="1"/>
  <c r="M294" i="1"/>
  <c r="O293" i="1" a="1"/>
  <c r="O293" i="1" s="1"/>
  <c r="N293" i="1"/>
  <c r="M293" i="1"/>
  <c r="O292" i="1" a="1"/>
  <c r="O292" i="1" s="1"/>
  <c r="N292" i="1"/>
  <c r="M292" i="1"/>
  <c r="O291" i="1"/>
  <c r="O291" i="1" a="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c r="O281" i="1" a="1"/>
  <c r="N281" i="1"/>
  <c r="M281" i="1"/>
  <c r="O280" i="1" a="1"/>
  <c r="O280" i="1" s="1"/>
  <c r="N280" i="1"/>
  <c r="M280" i="1"/>
  <c r="O279" i="1"/>
  <c r="O279" i="1" a="1"/>
  <c r="N279" i="1"/>
  <c r="M279" i="1"/>
  <c r="O278" i="1"/>
  <c r="O278" i="1" a="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c r="O266" i="1" a="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c r="O258" i="1" a="1"/>
  <c r="N258" i="1"/>
  <c r="M258" i="1"/>
  <c r="O257" i="1" a="1"/>
  <c r="O257" i="1" s="1"/>
  <c r="N257" i="1"/>
  <c r="M257" i="1"/>
  <c r="O256" i="1" a="1"/>
  <c r="O256" i="1" s="1"/>
  <c r="N256" i="1"/>
  <c r="M256" i="1"/>
  <c r="O255" i="1"/>
  <c r="O255" i="1" a="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c r="O245" i="1" a="1"/>
  <c r="N245" i="1"/>
  <c r="M245" i="1"/>
  <c r="O244" i="1" a="1"/>
  <c r="O244" i="1" s="1"/>
  <c r="N244" i="1"/>
  <c r="M244" i="1"/>
  <c r="O243" i="1"/>
  <c r="O243" i="1" a="1"/>
  <c r="N243" i="1"/>
  <c r="M243" i="1"/>
  <c r="O242" i="1"/>
  <c r="O242" i="1" a="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c r="O230" i="1" a="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c r="O222" i="1" a="1"/>
  <c r="N222" i="1"/>
  <c r="M222" i="1"/>
  <c r="O221" i="1" a="1"/>
  <c r="O221" i="1" s="1"/>
  <c r="N221" i="1"/>
  <c r="M221" i="1"/>
  <c r="O220" i="1" a="1"/>
  <c r="O220" i="1" s="1"/>
  <c r="N220" i="1"/>
  <c r="M220" i="1"/>
  <c r="O219" i="1"/>
  <c r="O219" i="1" a="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c r="O209" i="1" a="1"/>
  <c r="N209" i="1"/>
  <c r="M209" i="1"/>
  <c r="O208" i="1" a="1"/>
  <c r="O208" i="1" s="1"/>
  <c r="N208" i="1"/>
  <c r="M208" i="1"/>
  <c r="O207" i="1"/>
  <c r="O207" i="1" a="1"/>
  <c r="N207" i="1"/>
  <c r="M207" i="1"/>
  <c r="O206" i="1"/>
  <c r="O206" i="1" a="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c r="O194" i="1" a="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c r="O186" i="1" a="1"/>
  <c r="N186" i="1"/>
  <c r="M186" i="1"/>
  <c r="O185" i="1" a="1"/>
  <c r="O185" i="1" s="1"/>
  <c r="N185" i="1"/>
  <c r="M185" i="1"/>
  <c r="O184" i="1" a="1"/>
  <c r="O184" i="1" s="1"/>
  <c r="N184" i="1"/>
  <c r="M184" i="1"/>
  <c r="O183" i="1"/>
  <c r="O183" i="1" a="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c r="O173" i="1" a="1"/>
  <c r="N173" i="1"/>
  <c r="M173" i="1"/>
  <c r="O172" i="1" a="1"/>
  <c r="O172" i="1" s="1"/>
  <c r="N172" i="1"/>
  <c r="M172" i="1"/>
  <c r="O171" i="1"/>
  <c r="O171" i="1" a="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c r="O158" i="1" a="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c r="O150" i="1" a="1"/>
  <c r="N150" i="1"/>
  <c r="M150" i="1"/>
  <c r="O149" i="1" a="1"/>
  <c r="O149" i="1" s="1"/>
  <c r="N149" i="1"/>
  <c r="M149" i="1"/>
  <c r="O148" i="1" a="1"/>
  <c r="O148" i="1" s="1"/>
  <c r="N148" i="1"/>
  <c r="M148" i="1"/>
  <c r="O147" i="1"/>
  <c r="O147" i="1" a="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c r="O137" i="1" a="1"/>
  <c r="N137" i="1"/>
  <c r="M137" i="1"/>
  <c r="O136" i="1" a="1"/>
  <c r="O136" i="1" s="1"/>
  <c r="N136" i="1"/>
  <c r="M136" i="1"/>
  <c r="O135" i="1"/>
  <c r="O135" i="1" a="1"/>
  <c r="N135" i="1"/>
  <c r="M135" i="1"/>
  <c r="O134" i="1"/>
  <c r="O134" i="1" a="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c r="O122" i="1" a="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c r="O114" i="1" a="1"/>
  <c r="N114" i="1"/>
  <c r="M114" i="1"/>
  <c r="O113" i="1" a="1"/>
  <c r="O113" i="1" s="1"/>
  <c r="N113" i="1"/>
  <c r="M113" i="1"/>
  <c r="O112" i="1" a="1"/>
  <c r="O112" i="1" s="1"/>
  <c r="N112" i="1"/>
  <c r="M112" i="1"/>
  <c r="O111" i="1"/>
  <c r="O111" i="1" a="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c r="O101" i="1" a="1"/>
  <c r="N101" i="1"/>
  <c r="M101" i="1"/>
  <c r="O100" i="1" a="1"/>
  <c r="O100" i="1" s="1"/>
  <c r="N100" i="1"/>
  <c r="M100" i="1"/>
  <c r="O99" i="1"/>
  <c r="O99" i="1" a="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c r="O86" i="1" a="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c r="O78" i="1" a="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c r="O65" i="1" a="1"/>
  <c r="N65" i="1"/>
  <c r="M65" i="1"/>
  <c r="O64" i="1" a="1"/>
  <c r="O64" i="1" s="1"/>
  <c r="N64" i="1"/>
  <c r="M64" i="1"/>
  <c r="O63" i="1"/>
  <c r="O63" i="1" a="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c r="O50" i="1" a="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<sst xmlns="http://schemas.openxmlformats.org/spreadsheetml/2006/main" count="14625" uniqueCount="2532">
  <si>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</si>
  <si>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</si>
  <si>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</si>
  <si>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</si>
  <si>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</si>
  <si>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</si>
  <si>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</si>
  <si>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</si>
  <si>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</si>
  <si>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</si>
  <si>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</si>
  <si>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</si>
  <si>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</si>
  <si>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</si>
  <si>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</si>
  <si>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</si>
  <si>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</si>
  <si>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</si>
  <si>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</si>
  <si>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</si>
  <si>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</si>
  <si>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</si>
  <si>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</si>
  <si>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</si>
  <si>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</si>
  <si>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</si>
  <si>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</si>
  <si>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</si>
  <si>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</si>
  <si>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</si>
  <si>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</si>
  <si>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</si>
  <si>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</si>
  <si>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</si>
  <si>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</si>
  <si>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</si>
  <si>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</si>
  <si>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</si>
  <si>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</si>
  <si>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</si>
  <si>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</si>
  <si>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</si>
  <si>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</si>
  <si>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</si>
  <si>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</si>
  <si>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</si>
  <si>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</si>
  <si>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</si>
  <si>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</si>
  <si>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</si>
  <si>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</si>
  <si>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</si>
  <si>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</si>
  <si>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</si>
  <si>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</si>
  <si>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</si>
  <si>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</si>
  <si>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</si>
  <si>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</si>
  <si>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</si>
  <si>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</si>
  <si>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</si>
  <si>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</si>
  <si>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</si>
  <si>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</si>
  <si>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</si>
  <si>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</si>
  <si>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</si>
  <si>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</si>
  <si>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</si>
  <si>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</si>
  <si>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</si>
  <si>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</si>
  <si>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</si>
  <si>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</si>
  <si>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</si>
  <si>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</si>
  <si>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</si>
  <si>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</si>
  <si>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</si>
  <si>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</si>
  <si>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</si>
  <si>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</si>
  <si>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</si>
  <si>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</si>
  <si>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</si>
  <si>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</si>
  <si>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</si>
  <si>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</si>
  <si>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</si>
  <si>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</si>
  <si>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</si>
  <si>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</si>
  <si>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</si>
  <si>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</si>
  <si>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</si>
  <si>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</si>
  <si>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</si>
  <si>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</si>
  <si>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</si>
  <si>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</si>
  <si>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</si>
  <si>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</si>
  <si>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</si>
  <si>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</si>
  <si>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</si>
  <si>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</si>
  <si>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</si>
  <si>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</si>
  <si>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</si>
  <si>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</si>
  <si>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</si>
  <si>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</si>
  <si>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</si>
  <si>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</si>
  <si>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</si>
  <si>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</si>
  <si>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</si>
  <si>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</si>
  <si>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</si>
  <si>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</si>
  <si>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</si>
  <si>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</si>
  <si>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</si>
  <si>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</si>
  <si>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</si>
  <si>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</si>
  <si>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</si>
  <si>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</si>
  <si>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</si>
  <si>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</si>
  <si>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</si>
  <si>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</si>
  <si>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</si>
  <si>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</si>
  <si>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</si>
  <si>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</si>
  <si>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</si>
  <si>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</si>
  <si>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</si>
  <si>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</si>
  <si>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</si>
  <si>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</si>
  <si>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</si>
  <si>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</si>
  <si>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</si>
  <si>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</si>
  <si>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</si>
  <si>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</si>
  <si>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</si>
  <si>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</si>
  <si>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</si>
  <si>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</si>
  <si>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</si>
  <si>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</si>
  <si>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</si>
  <si>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</si>
  <si>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</si>
  <si>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</si>
  <si>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</si>
  <si>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</si>
  <si>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</si>
  <si>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</si>
  <si>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</si>
  <si>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</si>
  <si>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</si>
  <si>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</si>
  <si>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</si>
  <si>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</si>
  <si>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</si>
  <si>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</si>
  <si>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</si>
  <si>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</si>
  <si>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</si>
  <si>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</si>
  <si>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</si>
  <si>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</si>
  <si>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</si>
  <si>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</si>
  <si>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</si>
  <si>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</si>
  <si>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</si>
  <si>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</si>
  <si>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</si>
  <si>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</si>
  <si>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</si>
  <si>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</si>
  <si>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</si>
  <si>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</si>
  <si>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</si>
  <si>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</si>
  <si>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</si>
  <si>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</si>
  <si>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</si>
  <si>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</si>
  <si>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</si>
  <si>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</si>
  <si>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</si>
  <si>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</si>
  <si>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</si>
  <si>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</si>
  <si>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</si>
  <si>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</si>
  <si>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</si>
  <si>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</si>
  <si>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</si>
  <si>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</si>
  <si>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</si>
  <si>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</si>
  <si>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</si>
  <si>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</si>
  <si>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</si>
  <si>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</si>
  <si>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</si>
  <si>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</si>
  <si>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</si>
  <si>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</si>
  <si>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</si>
  <si>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</si>
  <si>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</si>
  <si>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</si>
  <si>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</si>
  <si>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</si>
  <si>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</si>
  <si>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</si>
  <si>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</si>
  <si>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</si>
  <si>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</si>
  <si>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</si>
  <si>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</si>
  <si>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</si>
  <si>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</si>
  <si>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</si>
  <si>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</si>
  <si>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</si>
  <si>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</si>
  <si>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</si>
  <si>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</si>
  <si>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</si>
  <si>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</si>
  <si>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</si>
  <si>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</si>
  <si>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</si>
  <si>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</si>
  <si>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</si>
  <si>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</si>
  <si>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</si>
  <si>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</si>
  <si>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</si>
  <si>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</si>
  <si>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</si>
  <si>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</si>
  <si>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</si>
  <si>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</si>
  <si>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</si>
  <si>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</si>
  <si>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</si>
  <si>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</si>
  <si>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</si>
  <si>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</si>
  <si>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</si>
  <si>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</si>
  <si>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</si>
  <si>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</si>
  <si>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</si>
  <si>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</si>
  <si>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</si>
  <si>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</si>
  <si>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</si>
  <si>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</si>
  <si>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</si>
  <si>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</si>
  <si>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</si>
  <si>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</si>
  <si>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</si>
  <si>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</si>
  <si>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</si>
  <si>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</si>
  <si>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</si>
  <si>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</si>
  <si>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</si>
  <si>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</si>
  <si>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</si>
  <si>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</si>
  <si>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</si>
  <si>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</si>
  <si>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</si>
  <si>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</si>
  <si>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</si>
  <si>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</si>
  <si>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</si>
  <si>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</si>
  <si>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</si>
  <si>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</si>
  <si>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</si>
  <si>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</si>
  <si>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</si>
  <si>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</si>
  <si>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</si>
  <si>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</si>
  <si>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</si>
  <si>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</si>
  <si>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</si>
  <si>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</si>
  <si>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</si>
  <si>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</si>
  <si>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</si>
  <si>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</si>
  <si>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</si>
  <si>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</si>
  <si>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</si>
  <si>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</si>
  <si>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</si>
  <si>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</si>
  <si>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</si>
  <si>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</si>
  <si>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</si>
  <si>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</si>
  <si>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</si>
  <si>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</si>
  <si>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</si>
  <si>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</si>
  <si>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</si>
  <si>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</si>
  <si>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</si>
  <si>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</si>
  <si>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</si>
  <si>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</si>
  <si>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</si>
  <si>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</si>
  <si>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</si>
  <si>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</si>
  <si>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</si>
  <si>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</si>
  <si>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</si>
  <si>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</si>
  <si>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</si>
  <si>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</si>
  <si>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</si>
  <si>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</si>
  <si>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</si>
  <si>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</si>
  <si>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</si>
  <si>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</si>
  <si>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</si>
  <si>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</si>
  <si>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</si>
  <si>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</si>
  <si>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</si>
  <si>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</si>
  <si>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</si>
  <si>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</si>
  <si>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</si>
  <si>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</si>
  <si>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</si>
  <si>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</si>
  <si>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</si>
  <si>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</si>
  <si>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</si>
  <si>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</si>
  <si>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</si>
  <si>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</si>
  <si>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</si>
  <si>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</si>
  <si>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</si>
  <si>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</si>
  <si>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</si>
  <si>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</si>
  <si>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</si>
  <si>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</si>
  <si>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</si>
  <si>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</si>
  <si>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</si>
  <si>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</si>
  <si>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</si>
  <si>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</si>
  <si>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</si>
  <si>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</si>
  <si>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</si>
  <si>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</si>
  <si>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</si>
  <si>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</si>
  <si>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</si>
  <si>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</si>
  <si>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</si>
  <si>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</si>
  <si>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</si>
  <si>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</si>
  <si>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</si>
  <si>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</si>
  <si>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</si>
  <si>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</si>
  <si>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</si>
  <si>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</si>
  <si>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</si>
  <si>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</si>
  <si>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</si>
  <si>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</si>
  <si>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</si>
  <si>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</si>
  <si>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</si>
  <si>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</si>
  <si>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</si>
  <si>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</si>
  <si>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</si>
  <si>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</si>
  <si>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</si>
  <si>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</si>
  <si>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</si>
  <si>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</si>
  <si>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</si>
  <si>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</si>
  <si>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</si>
  <si>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</si>
  <si>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</si>
  <si>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</si>
  <si>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</si>
  <si>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</si>
  <si>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</si>
  <si>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</si>
  <si>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</si>
  <si>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</si>
  <si>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</si>
  <si>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</si>
  <si>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</si>
  <si>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</si>
  <si>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</si>
  <si>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</si>
  <si>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</si>
  <si>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</si>
  <si>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</si>
  <si>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</si>
  <si>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</si>
  <si>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</si>
  <si>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</si>
  <si>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</si>
  <si>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</si>
  <si>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</si>
  <si>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</si>
  <si>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</si>
  <si>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</si>
  <si>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</si>
  <si>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</si>
  <si>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</si>
  <si>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</si>
  <si>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</si>
  <si>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</si>
  <si>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</si>
  <si>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</si>
  <si>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</si>
  <si>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</si>
  <si>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</si>
  <si>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</si>
  <si>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</si>
  <si>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</si>
  <si>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</si>
  <si>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</si>
  <si>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</si>
  <si>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</si>
  <si>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</si>
  <si>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</si>
  <si>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</si>
  <si>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</si>
  <si>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</si>
  <si>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</si>
  <si>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</si>
  <si>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</si>
  <si>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</si>
  <si>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</si>
  <si>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</si>
  <si>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</si>
  <si>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</si>
  <si>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</si>
  <si>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</si>
  <si>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</si>
  <si>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</si>
  <si>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</si>
  <si>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</si>
  <si>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</si>
  <si>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</si>
  <si>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</si>
  <si>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</si>
  <si>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</si>
  <si>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</si>
  <si>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</si>
  <si>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</si>
  <si>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</si>
  <si>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</si>
  <si>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</si>
  <si>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</si>
  <si>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</si>
  <si>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</si>
  <si>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</si>
  <si>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</si>
  <si>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</si>
  <si>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</si>
  <si>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</si>
  <si>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</si>
  <si>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</si>
  <si>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</si>
  <si>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</si>
  <si>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</si>
  <si>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</si>
  <si>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</si>
  <si>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</si>
  <si>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</si>
  <si>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</si>
  <si>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</si>
  <si>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</si>
  <si>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</si>
  <si>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</si>
  <si>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</si>
  <si>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</si>
  <si>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</si>
  <si>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</si>
  <si>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</si>
  <si>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</si>
  <si>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</si>
  <si>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</si>
  <si>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</si>
  <si>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</si>
  <si>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</si>
  <si>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</si>
  <si>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</si>
  <si>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</si>
  <si>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</si>
  <si>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</si>
  <si>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</si>
  <si>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</si>
  <si>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</si>
  <si>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</si>
  <si>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</si>
  <si>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</si>
  <si>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</si>
  <si>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</si>
  <si>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</si>
  <si>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</si>
  <si>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</si>
  <si>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</si>
  <si>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</si>
  <si>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</si>
  <si>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</si>
  <si>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</si>
  <si>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</si>
  <si>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</si>
  <si>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</si>
  <si>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</si>
  <si>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</si>
  <si>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</si>
  <si>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</si>
  <si>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</si>
  <si>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</si>
  <si>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</si>
  <si>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</si>
  <si>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</si>
  <si>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</si>
  <si>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</si>
  <si>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</si>
  <si>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</si>
  <si>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</si>
  <si>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</si>
  <si>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</si>
  <si>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</si>
  <si>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</si>
  <si>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</si>
  <si>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</si>
  <si>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</si>
  <si>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</si>
  <si>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</si>
  <si>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</si>
  <si>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</si>
  <si>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</si>
  <si>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</si>
  <si>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</si>
  <si>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</si>
  <si>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</si>
  <si>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</si>
  <si>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</si>
  <si>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</si>
  <si>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</si>
  <si>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</si>
  <si>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</si>
  <si>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</si>
  <si>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</si>
  <si>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</si>
  <si>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</si>
  <si>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</si>
  <si>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</si>
  <si>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</si>
  <si>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</si>
  <si>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</si>
  <si>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</si>
  <si>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</si>
  <si>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</si>
  <si>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</si>
  <si>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</si>
  <si>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</si>
  <si>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</si>
  <si>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</si>
  <si>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</si>
  <si>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</si>
  <si>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</si>
  <si>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</si>
  <si>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</si>
  <si>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</si>
  <si>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</si>
  <si>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</si>
  <si>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</si>
  <si>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</si>
  <si>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</si>
  <si>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</si>
  <si>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</si>
  <si>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</si>
  <si>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</si>
  <si>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</si>
  <si>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</si>
  <si>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</si>
  <si>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</si>
  <si>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</si>
  <si>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</si>
  <si>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</si>
  <si>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</si>
  <si>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</si>
  <si>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</si>
  <si>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</si>
  <si>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</si>
  <si>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</si>
  <si>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</si>
  <si>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</si>
  <si>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</si>
  <si>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</si>
  <si>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</si>
  <si>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</si>
  <si>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</si>
  <si>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</si>
  <si>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</si>
  <si>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</si>
  <si>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</si>
  <si>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</si>
  <si>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</si>
  <si>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</si>
  <si>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</si>
  <si>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</si>
  <si>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</si>
  <si>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</si>
  <si>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</si>
  <si>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</si>
  <si>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</si>
  <si>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</si>
  <si>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</si>
  <si>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</si>
  <si>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</si>
  <si>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</si>
  <si>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</si>
  <si>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</si>
  <si>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</si>
  <si>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</si>
  <si>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</si>
  <si>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</si>
  <si>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</si>
  <si>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</si>
  <si>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</si>
  <si>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</si>
  <si>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</si>
  <si>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</si>
  <si>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</si>
  <si>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</si>
  <si>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</si>
  <si>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</si>
  <si>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</si>
  <si>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</si>
  <si>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</si>
  <si>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</si>
  <si>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</si>
  <si>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</si>
  <si>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</si>
  <si>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</si>
  <si>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</si>
  <si>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</si>
  <si>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</si>
  <si>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</si>
  <si>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</si>
  <si>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</si>
  <si>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</si>
  <si>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</si>
  <si>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</si>
  <si>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</si>
  <si>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</si>
  <si>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</si>
  <si>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</si>
  <si>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</si>
  <si>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</si>
  <si>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</si>
  <si>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</si>
  <si>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</si>
  <si>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</si>
  <si>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</si>
  <si>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</si>
  <si>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</si>
  <si>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</si>
  <si>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</si>
  <si>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</si>
  <si>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</si>
  <si>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</si>
  <si>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</si>
  <si>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</si>
  <si>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</si>
  <si>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</si>
  <si>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</si>
  <si>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</si>
  <si>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</si>
  <si>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</si>
  <si>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</si>
  <si>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</si>
  <si>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</si>
  <si>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</si>
  <si>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</si>
  <si>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</si>
  <si>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</si>
  <si>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</si>
  <si>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</si>
  <si>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</si>
  <si>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</si>
  <si>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</si>
  <si>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</si>
  <si>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</si>
  <si>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</si>
  <si>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</si>
  <si>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</si>
  <si>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</si>
  <si>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</si>
  <si>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</si>
  <si>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</si>
  <si>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</si>
  <si>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</si>
  <si>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</si>
  <si>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</si>
  <si>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</si>
  <si>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</si>
  <si>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</si>
  <si>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</si>
  <si>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</si>
  <si>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</si>
  <si>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</si>
  <si>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</si>
  <si>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</si>
  <si>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</si>
  <si>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</si>
  <si>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</si>
  <si>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</si>
  <si>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</si>
  <si>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</si>
  <si>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</si>
  <si>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</si>
  <si>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</si>
  <si>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</si>
  <si>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</si>
  <si>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</si>
  <si>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</si>
  <si>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</si>
  <si>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</si>
  <si>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</si>
  <si>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</si>
  <si>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</si>
  <si>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</si>
  <si>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</si>
  <si>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</si>
  <si>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</si>
  <si>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</si>
  <si>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</si>
  <si>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</si>
  <si>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</si>
  <si>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</si>
  <si>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</si>
  <si>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</si>
  <si>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</si>
  <si>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</si>
  <si>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</si>
  <si>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</si>
  <si>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</si>
  <si>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</si>
  <si>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</si>
  <si>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</si>
  <si>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</si>
  <si>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</si>
  <si>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</si>
  <si>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</si>
  <si>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</si>
  <si>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</si>
  <si>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</si>
  <si>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</si>
  <si>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</si>
  <si>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</si>
  <si>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</si>
  <si>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</si>
  <si>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</si>
  <si>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</si>
  <si>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</si>
  <si>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</si>
  <si>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</si>
  <si>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</si>
  <si>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</si>
  <si>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</si>
  <si>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</si>
  <si>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</si>
  <si>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</si>
  <si>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</si>
  <si>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</si>
  <si>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</si>
  <si>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</si>
  <si>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</si>
  <si>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</si>
  <si>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</si>
  <si>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</si>
  <si>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</si>
  <si>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</si>
  <si>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</si>
  <si>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</si>
  <si>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</si>
  <si>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</si>
  <si>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</si>
  <si>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</si>
  <si>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</si>
  <si>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</si>
  <si>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</si>
  <si>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</si>
  <si>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</si>
  <si>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</si>
  <si>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</si>
  <si>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</si>
  <si>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</si>
  <si>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</si>
  <si>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</si>
  <si>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</si>
  <si>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</si>
  <si>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</si>
  <si>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</si>
  <si>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</si>
  <si>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</si>
  <si>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</si>
  <si>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</si>
  <si>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</si>
  <si>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</si>
  <si>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</si>
  <si>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</si>
  <si>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</si>
  <si>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</si>
  <si>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</si>
  <si>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</si>
  <si>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</si>
  <si>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</si>
  <si>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</si>
  <si>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</si>
  <si>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</si>
  <si>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</si>
  <si>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</si>
  <si>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</si>
  <si>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</si>
  <si>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</si>
  <si>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</si>
  <si>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</si>
  <si>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</si>
  <si>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</si>
  <si>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</si>
  <si>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</si>
  <si>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</si>
  <si>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</si>
  <si>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</si>
  <si>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</si>
  <si>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</si>
  <si>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</si>
  <si>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</si>
  <si>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</si>
  <si>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</si>
  <si>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</si>
  <si>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</si>
  <si>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</si>
  <si>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</si>
  <si>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</si>
  <si>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</si>
  <si>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</si>
  <si>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</si>
  <si>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</si>
  <si>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</si>
  <si>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</si>
  <si>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</si>
  <si>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</si>
  <si>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</si>
  <si>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</si>
  <si>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</si>
  <si>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</si>
  <si>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</si>
  <si>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</si>
  <si>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</si>
  <si>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</si>
  <si>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</si>
  <si>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</si>
  <si>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</si>
  <si>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</si>
  <si>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</si>
  <si>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</si>
  <si>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</si>
  <si>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</si>
  <si>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</si>
  <si>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</si>
  <si>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</si>
  <si>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</si>
  <si>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</si>
  <si>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</si>
  <si>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</si>
  <si>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</si>
  <si>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</si>
  <si>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</si>
  <si>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</si>
  <si>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</si>
  <si>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</si>
  <si>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</si>
  <si>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</si>
  <si>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</si>
  <si>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</si>
  <si>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</si>
  <si>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</si>
  <si>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</si>
  <si>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</si>
  <si>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</si>
  <si>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</si>
  <si>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</si>
  <si>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</si>
  <si>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</si>
  <si>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</si>
  <si>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</si>
  <si>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</si>
  <si>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</si>
  <si>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</si>
  <si>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</si>
  <si>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</si>
  <si>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</si>
  <si>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</si>
  <si>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</si>
  <si>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</si>
  <si>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</si>
  <si>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</si>
  <si>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</si>
  <si>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</si>
  <si>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</si>
  <si>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</si>
  <si>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</si>
  <si>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</si>
  <si>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</si>
  <si>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</si>
  <si>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</si>
  <si>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</si>
  <si>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</si>
  <si>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</si>
  <si>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</si>
  <si>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</si>
  <si>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</si>
  <si>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</si>
  <si>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</si>
  <si>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</si>
  <si>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</si>
  <si>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</si>
  <si>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</si>
  <si>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</si>
  <si>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</si>
  <si>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</si>
  <si>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</si>
  <si>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</si>
  <si>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</si>
  <si>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</si>
  <si>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</si>
  <si>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</si>
  <si>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</si>
  <si>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</si>
  <si>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</si>
  <si>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</si>
  <si>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</si>
  <si>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</si>
  <si>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</si>
  <si>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</si>
  <si>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</si>
  <si>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</si>
  <si>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</si>
  <si>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</si>
  <si>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</si>
  <si>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</si>
  <si>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</si>
  <si>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</si>
  <si>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</si>
  <si>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</si>
  <si>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</si>
  <si>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</si>
  <si>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</si>
  <si>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</si>
  <si>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</si>
  <si>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</si>
  <si>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</si>
  <si>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</si>
  <si>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</si>
  <si>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</si>
  <si>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</si>
  <si>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</si>
  <si>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</si>
  <si>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</si>
  <si>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</si>
  <si>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</si>
  <si>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</si>
  <si>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</si>
  <si>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</si>
  <si>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</si>
  <si>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</si>
  <si>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</si>
  <si>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</si>
  <si>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</si>
  <si>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</si>
  <si>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</si>
  <si>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</si>
  <si>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</si>
  <si>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</si>
  <si>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</si>
  <si>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</si>
  <si>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</si>
  <si>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</si>
  <si>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</si>
  <si>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</si>
  <si>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</si>
  <si>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</si>
  <si>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</si>
  <si>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</si>
  <si>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</si>
  <si>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</si>
  <si>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</si>
  <si>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</si>
  <si>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</si>
  <si>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</si>
  <si>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</si>
  <si>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</si>
  <si>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</si>
  <si>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</si>
  <si>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</si>
  <si>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</si>
  <si>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</si>
  <si>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</si>
  <si>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</si>
  <si>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</si>
  <si>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</si>
  <si>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</si>
  <si>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</si>
  <si>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</si>
  <si>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</si>
  <si>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</si>
  <si>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</si>
  <si>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</si>
  <si>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</si>
  <si>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</si>
  <si>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</si>
  <si>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</si>
  <si>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</si>
  <si>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</si>
  <si>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</si>
  <si>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</si>
  <si>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</si>
  <si>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</si>
  <si>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</si>
  <si>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</si>
  <si>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</si>
  <si>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</si>
  <si>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</si>
  <si>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</si>
  <si>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</si>
  <si>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</si>
  <si>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</si>
  <si>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</si>
  <si>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</si>
  <si>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</si>
  <si>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</si>
  <si>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</si>
  <si>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</si>
  <si>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</si>
  <si>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</si>
  <si>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</si>
  <si>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</si>
  <si>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</si>
  <si>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</si>
  <si>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</si>
  <si>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</si>
  <si>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</si>
  <si>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</si>
  <si>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</si>
  <si>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</si>
  <si>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</si>
  <si>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</si>
  <si>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</si>
  <si>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</si>
  <si>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</si>
  <si>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</si>
  <si>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</si>
  <si>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</si>
  <si>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</si>
  <si>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</si>
  <si>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</si>
  <si>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</si>
  <si>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</si>
  <si>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</si>
  <si>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</si>
  <si>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</si>
  <si>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</si>
  <si>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</si>
  <si>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</si>
  <si>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</si>
  <si>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</si>
  <si>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</si>
  <si>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</si>
  <si>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</si>
  <si>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</si>
  <si>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</si>
  <si>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</si>
  <si>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</si>
  <si>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</si>
  <si>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</si>
  <si>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</si>
  <si>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</si>
  <si>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</si>
  <si>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</si>
  <si>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</si>
  <si>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</si>
  <si>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</si>
  <si>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</si>
  <si>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</si>
  <si>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</si>
  <si>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</si>
  <si>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</si>
  <si>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</si>
  <si>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</si>
  <si>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</si>
  <si>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</si>
  <si>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</si>
  <si>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</si>
  <si>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</si>
  <si>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</si>
  <si>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</si>
  <si>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</si>
  <si>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</si>
  <si>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</si>
  <si>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</si>
  <si>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</si>
  <si>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</si>
  <si>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</si>
  <si>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</si>
  <si>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</si>
  <si>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</si>
  <si>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</si>
  <si>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</si>
  <si>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</si>
  <si>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</si>
  <si>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</si>
  <si>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</si>
  <si>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</si>
  <si>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</si>
  <si>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</si>
  <si>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</si>
  <si>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</si>
  <si>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</si>
  <si>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</si>
  <si>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</si>
  <si>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</si>
  <si>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</si>
  <si>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</si>
  <si>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</si>
  <si>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</si>
  <si>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</si>
  <si>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</si>
  <si>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</si>
  <si>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</si>
  <si>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</si>
  <si>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</si>
  <si>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</si>
  <si>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</si>
  <si>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</si>
  <si>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</si>
  <si>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</si>
  <si>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</si>
  <si>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</si>
  <si>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</si>
  <si>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</si>
  <si>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</si>
  <si>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</si>
  <si>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</si>
  <si>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</si>
  <si>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</si>
  <si>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</si>
  <si>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</si>
  <si>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</si>
  <si>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</si>
  <si>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</si>
  <si>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</si>
  <si>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</si>
  <si>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</si>
  <si>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</si>
  <si>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</si>
  <si>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</si>
  <si>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</si>
  <si>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</si>
  <si>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</si>
  <si>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</si>
  <si>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</si>
  <si>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</si>
  <si>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</si>
  <si>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</si>
  <si>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</si>
  <si>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</si>
  <si>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</si>
  <si>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</si>
  <si>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</si>
  <si>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</si>
  <si>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</si>
  <si>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</si>
  <si>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</si>
  <si>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</si>
  <si>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</si>
  <si>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</si>
  <si>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</si>
  <si>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</si>
  <si>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</si>
  <si>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</si>
  <si>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</si>
  <si>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</si>
  <si>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</si>
  <si>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</si>
  <si>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</si>
  <si>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</si>
  <si>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</si>
  <si>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</si>
  <si>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</si>
  <si>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</si>
  <si>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</si>
  <si>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</si>
  <si>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</si>
  <si>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</si>
  <si>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</si>
  <si>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</si>
  <si>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</si>
  <si>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</si>
  <si>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</si>
  <si>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</si>
  <si>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</si>
  <si>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</si>
  <si>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</si>
  <si>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</si>
  <si>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</si>
  <si>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</si>
  <si>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</si>
  <si>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</si>
  <si>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</si>
  <si>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</si>
  <si>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</si>
  <si>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</si>
  <si>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</si>
  <si>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</si>
  <si>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</si>
  <si>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</si>
  <si>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</si>
  <si>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</si>
  <si>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</si>
  <si>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</si>
  <si>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</si>
  <si>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</si>
  <si>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</si>
  <si>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</si>
  <si>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</si>
  <si>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</si>
  <si>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</si>
  <si>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</si>
  <si>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</si>
  <si>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</si>
  <si>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</si>
  <si>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</si>
  <si>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</si>
  <si>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</si>
  <si>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</si>
  <si>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</si>
  <si>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</si>
  <si>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</si>
  <si>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</si>
  <si>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</si>
  <si>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</si>
  <si>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</si>
  <si>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</si>
  <si>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</si>
  <si>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</si>
  <si>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</si>
  <si>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</si>
  <si>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</si>
  <si>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</si>
  <si>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</si>
  <si>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</si>
  <si>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</si>
  <si>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</si>
  <si>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</si>
  <si>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</si>
  <si>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</si>
  <si>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</si>
  <si>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</si>
  <si>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</si>
  <si>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</si>
  <si>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</si>
  <si>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</si>
  <si>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</si>
  <si>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</si>
  <si>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</si>
  <si>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</si>
  <si>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</si>
  <si>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</si>
  <si>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</si>
  <si>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</si>
  <si>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</si>
  <si>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</si>
  <si>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</si>
  <si>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</si>
  <si>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</si>
  <si>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</si>
  <si>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</si>
  <si>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</si>
  <si>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</si>
  <si>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</si>
  <si>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</si>
  <si>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</si>
  <si>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</si>
  <si>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</si>
  <si>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</si>
  <si>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</si>
  <si>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</si>
  <si>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</si>
  <si>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</si>
  <si>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</si>
  <si>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</si>
  <si>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</si>
  <si>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</si>
  <si>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</si>
  <si>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</si>
  <si>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</si>
  <si>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</si>
  <si>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</si>
  <si>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</si>
  <si>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</si>
  <si>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</si>
  <si>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</si>
  <si>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</si>
  <si>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</si>
  <si>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</si>
  <si>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</si>
  <si>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</si>
  <si>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</si>
  <si>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</si>
  <si>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</si>
  <si>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</si>
  <si>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</si>
  <si>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</si>
  <si>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</si>
  <si>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</si>
  <si>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</si>
  <si>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</si>
  <si>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</si>
  <si>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</si>
  <si>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</si>
  <si>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</si>
  <si>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</si>
  <si>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</si>
  <si>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</si>
  <si>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</si>
  <si>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</si>
  <si>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</si>
  <si>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</si>
  <si>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</si>
  <si>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</si>
  <si>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</si>
  <si>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</si>
  <si>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</si>
  <si>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</si>
  <si>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</si>
  <si>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</si>
  <si>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</si>
  <si>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</si>
  <si>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</si>
  <si>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</si>
  <si>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</si>
  <si>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</si>
  <si>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</si>
  <si>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</si>
  <si>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</si>
  <si>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</si>
  <si>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</si>
  <si>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</si>
  <si>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</si>
  <si>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</si>
  <si>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</si>
  <si>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</si>
  <si>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</si>
  <si>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</si>
  <si>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</si>
  <si>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</si>
  <si>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</si>
  <si>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</si>
  <si>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</si>
  <si>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</si>
  <si>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</si>
  <si>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</si>
  <si>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</si>
  <si>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</si>
  <si>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</si>
  <si>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</si>
  <si>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</si>
  <si>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</si>
  <si>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</si>
  <si>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</si>
  <si>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</si>
  <si>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</si>
  <si>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</si>
  <si>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</si>
  <si>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</si>
  <si>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</si>
  <si>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</si>
  <si>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</si>
  <si>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</si>
  <si>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</si>
  <si>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</si>
  <si>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</si>
  <si>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</si>
  <si>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</si>
  <si>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</si>
  <si>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</si>
  <si>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</si>
  <si>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</si>
  <si>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</si>
  <si>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</si>
  <si>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</si>
  <si>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</si>
  <si>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</si>
  <si>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</si>
  <si>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</si>
  <si>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</si>
  <si>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</si>
  <si>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</si>
  <si>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</si>
  <si>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</si>
  <si>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</si>
  <si>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</si>
  <si>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</si>
  <si>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</si>
  <si>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</si>
  <si>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</si>
  <si>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</si>
  <si>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</si>
  <si>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</si>
  <si>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</si>
  <si>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</si>
  <si>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</si>
  <si>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</si>
  <si>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</si>
  <si>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</si>
  <si>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</si>
  <si>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</si>
  <si>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</si>
  <si>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</si>
  <si>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</si>
  <si>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</si>
  <si>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</si>
  <si>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</si>
  <si>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</si>
  <si>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</si>
  <si>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</si>
  <si>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</si>
  <si>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</si>
  <si>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</si>
  <si>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</si>
  <si>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</si>
  <si>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</si>
  <si>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</si>
  <si>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</si>
  <si>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</si>
  <si>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</si>
  <si>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</si>
  <si>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</si>
  <si>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</si>
  <si>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</si>
  <si>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</si>
  <si>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</si>
  <si>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</si>
  <si>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</si>
  <si>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</si>
  <si>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</si>
  <si>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</si>
  <si>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</si>
  <si>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</si>
  <si>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</si>
  <si>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</si>
  <si>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</si>
  <si>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</si>
  <si>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</si>
  <si>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</si>
  <si>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</si>
  <si>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</si>
  <si>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</si>
  <si>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</si>
  <si>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</si>
  <si>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</si>
  <si>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</si>
  <si>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</si>
  <si>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</si>
  <si>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</si>
  <si>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</si>
  <si>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</si>
  <si>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</si>
  <si>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</si>
  <si>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</si>
  <si>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</si>
  <si>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</si>
  <si>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</si>
  <si>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</si>
  <si>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</si>
  <si>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</si>
  <si>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</si>
  <si>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</si>
  <si>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</si>
  <si>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</si>
  <si>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</si>
  <si>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</si>
  <si>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</si>
  <si>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</si>
  <si>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</si>
  <si>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</si>
  <si>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</si>
  <si>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</si>
  <si>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</si>
  <si>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</si>
  <si>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</si>
  <si>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</si>
  <si>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</si>
  <si>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</si>
  <si>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</si>
  <si>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</si>
  <si>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</si>
  <si>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</si>
  <si>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</si>
  <si>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</si>
  <si>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</si>
  <si>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</si>
  <si>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</si>
  <si>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</si>
  <si>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</si>
  <si>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</si>
  <si>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</si>
  <si>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</si>
  <si>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</si>
  <si>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</si>
  <si>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</si>
  <si>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</si>
  <si>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</si>
  <si>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</si>
  <si>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</si>
  <si>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</si>
  <si>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</si>
  <si>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</si>
  <si>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</si>
  <si>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</si>
  <si>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</si>
  <si>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</si>
  <si>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</si>
  <si>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</si>
  <si>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</si>
  <si>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</si>
  <si>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</si>
  <si>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</si>
  <si>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</si>
  <si>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</si>
  <si>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</si>
  <si>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</si>
  <si>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</si>
  <si>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</si>
  <si>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</si>
  <si>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</si>
  <si>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</si>
  <si>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</si>
  <si>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</si>
  <si>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</si>
  <si>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</si>
  <si>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</si>
  <si>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</si>
  <si>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</si>
  <si>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</si>
  <si>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</si>
  <si>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</si>
  <si>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</si>
  <si>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</si>
  <si>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</si>
  <si>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</si>
  <si>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</si>
  <si>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</si>
  <si>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</si>
  <si>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</si>
  <si>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</si>
  <si>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</si>
  <si>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</si>
  <si>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</si>
  <si>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</si>
  <si>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</si>
  <si>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</si>
  <si>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</si>
  <si>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</si>
  <si>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</si>
  <si>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</si>
  <si>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</si>
  <si>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</si>
  <si>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</si>
  <si>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</si>
  <si>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</si>
  <si>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</si>
  <si>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</si>
  <si>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</si>
  <si>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</si>
  <si>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</si>
  <si>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</si>
  <si>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</si>
  <si>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</si>
  <si>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</si>
  <si>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</si>
  <si>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</si>
  <si>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</si>
  <si>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</si>
  <si>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</si>
  <si>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</si>
  <si>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</si>
  <si>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</si>
  <si>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</si>
  <si>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</si>
  <si>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</si>
  <si>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</si>
  <si>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</si>
  <si>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</si>
  <si>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</si>
  <si>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</si>
  <si>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</si>
  <si>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</si>
  <si>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</si>
  <si>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</si>
  <si>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</si>
  <si>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</si>
  <si>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</si>
  <si>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</si>
  <si>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</si>
  <si>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</si>
  <si>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</si>
  <si>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</si>
  <si>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</si>
  <si>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</si>
  <si>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</si>
  <si>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</si>
  <si>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</si>
  <si>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</si>
  <si>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</si>
  <si>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</si>
  <si>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</si>
  <si>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</si>
  <si>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</si>
  <si>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</si>
  <si>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</si>
  <si>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</si>
  <si>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</si>
  <si>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</si>
  <si>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</si>
  <si>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</si>
  <si>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</si>
  <si>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</si>
  <si>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</si>
  <si>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</si>
  <si>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</si>
  <si>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</si>
  <si>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</si>
  <si>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</si>
  <si>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</si>
  <si>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</si>
  <si>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</si>
  <si>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</si>
  <si>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</si>
  <si>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</si>
  <si>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</si>
  <si>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</si>
  <si>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</si>
  <si>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</si>
  <si>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</si>
  <si>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</si>
  <si>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</si>
  <si>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</si>
  <si>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</si>
  <si>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</si>
  <si>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</si>
  <si>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</si>
  <si>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</si>
  <si>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</si>
  <si>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</si>
  <si>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</si>
  <si>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</si>
  <si>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</si>
  <si>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</si>
  <si>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</si>
  <si>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</si>
  <si>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</si>
  <si>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</si>
  <si>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</si>
  <si>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</si>
  <si>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</si>
  <si>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</si>
  <si>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</si>
  <si>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</si>
  <si>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</si>
  <si>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</si>
  <si>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</si>
  <si>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</si>
  <si>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</si>
  <si>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</si>
  <si>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</si>
  <si>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</si>
  <si>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</si>
  <si>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</si>
  <si>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</si>
  <si>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</si>
  <si>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</si>
  <si>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</si>
  <si>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</si>
  <si>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</si>
  <si>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</si>
  <si>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</si>
  <si>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</si>
  <si>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</si>
  <si>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</si>
  <si>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</si>
  <si>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</si>
  <si>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</si>
  <si>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</si>
  <si>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</si>
  <si>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</si>
  <si>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</si>
  <si>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</si>
  <si>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</si>
  <si>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</si>
  <si>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</si>
  <si>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</si>
  <si>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</si>
  <si>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</si>
  <si>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</si>
  <si>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</si>
  <si>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</si>
  <si>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</si>
  <si>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</si>
  <si>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</si>
  <si>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</si>
  <si>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</si>
  <si>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</si>
  <si>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</si>
  <si>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</si>
  <si>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</si>
  <si>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</si>
  <si>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</si>
  <si>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</si>
  <si>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</si>
  <si>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</si>
  <si>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</si>
  <si>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</si>
  <si>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</si>
  <si>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</si>
  <si>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</si>
  <si>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</si>
  <si>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</si>
  <si>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</si>
  <si>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</si>
  <si>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</si>
  <si>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</si>
  <si>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</si>
  <si>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</si>
  <si>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</si>
  <si>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</si>
  <si>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</si>
  <si>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</si>
  <si>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</si>
  <si>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</si>
  <si>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</si>
  <si>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</si>
  <si>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</si>
  <si>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</si>
  <si>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</si>
  <si>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</si>
  <si>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</si>
  <si>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</si>
  <si>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</si>
  <si>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</si>
  <si>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</si>
  <si>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</si>
  <si>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</si>
  <si>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</si>
  <si>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</si>
  <si>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</si>
  <si>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</si>
  <si>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</si>
  <si>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</si>
  <si>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</si>
  <si>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</si>
  <si>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</si>
  <si>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</si>
  <si>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</si>
  <si>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</si>
  <si>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</si>
  <si>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</si>
  <si>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</si>
  <si>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</si>
  <si>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</si>
  <si>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</si>
  <si>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</si>
  <si>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</si>
  <si>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</si>
  <si>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</si>
  <si>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</si>
  <si>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</si>
  <si>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</si>
  <si>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</si>
  <si>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</si>
  <si>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</si>
  <si>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</si>
  <si>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</si>
  <si>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</si>
  <si>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</si>
  <si>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</si>
  <si>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</si>
  <si>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</si>
  <si>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</si>
  <si>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</si>
  <si>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</si>
  <si>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</si>
  <si>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</si>
  <si>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</si>
  <si>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</si>
  <si>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</si>
  <si>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</si>
  <si>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</si>
  <si>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</si>
  <si>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</si>
  <si>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</si>
  <si>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</si>
  <si>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</si>
  <si>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</si>
  <si>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</si>
  <si>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</si>
  <si>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</si>
  <si>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</si>
  <si>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</si>
  <si>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</si>
  <si>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</si>
  <si>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</si>
  <si>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</si>
  <si>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</si>
  <si>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</si>
  <si>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</si>
  <si>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</si>
  <si>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</si>
  <si>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</si>
  <si>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</si>
  <si>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</si>
  <si>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</si>
  <si>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</si>
  <si>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</si>
  <si>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</si>
  <si>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</si>
  <si>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</si>
  <si>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</si>
  <si>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</si>
  <si>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</si>
  <si>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</si>
  <si>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</si>
  <si>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</si>
  <si>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</si>
  <si>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</si>
  <si>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</si>
  <si>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</si>
  <si>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</si>
  <si>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</si>
  <si>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</si>
  <si>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</si>
  <si>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</si>
  <si>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</si>
  <si>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</si>
  <si>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</si>
  <si>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</si>
  <si>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</si>
  <si>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</si>
  <si>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</si>
  <si>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</si>
  <si>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</si>
  <si>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</si>
  <si>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</si>
  <si>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</si>
  <si>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</si>
  <si>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</si>
  <si>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</si>
  <si>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</si>
  <si>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</si>
  <si>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</si>
  <si>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</si>
  <si>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</si>
  <si>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</si>
  <si>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</si>
  <si>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</si>
  <si>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</si>
  <si>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</si>
  <si>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</si>
  <si>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</si>
  <si>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</si>
  <si>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</si>
  <si>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</si>
  <si>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</si>
  <si>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</si>
  <si>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</si>
  <si>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</si>
  <si>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</si>
  <si>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</si>
  <si>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</si>
  <si>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</si>
  <si>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</si>
  <si>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</si>
  <si>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</si>
  <si>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</si>
  <si>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</si>
  <si>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</si>
  <si>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</si>
  <si>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</si>
  <si>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</si>
  <si>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</si>
  <si>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</si>
  <si>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</si>
  <si>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</si>
  <si>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</si>
  <si>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</si>
  <si>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</si>
  <si>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</si>
  <si>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</si>
  <si>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</si>
  <si>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</si>
  <si>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</si>
  <si>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</si>
  <si>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</si>
  <si>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</si>
  <si>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</si>
  <si>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</si>
  <si>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</si>
  <si>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</si>
  <si>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</si>
  <si>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</si>
  <si>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</si>
  <si>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</si>
  <si>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</si>
  <si>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</si>
  <si>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</si>
  <si>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</si>
  <si>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</si>
  <si>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</si>
  <si>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</si>
  <si>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</si>
  <si>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</si>
  <si>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</si>
  <si>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</si>
  <si>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</si>
  <si>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</si>
  <si>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</si>
  <si>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</si>
  <si>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</si>
  <si>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</si>
  <si>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</si>
  <si>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</si>
  <si>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</si>
  <si>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</si>
  <si>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</si>
  <si>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</si>
  <si>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</si>
  <si>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</si>
  <si>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</si>
  <si>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</si>
  <si>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</si>
  <si>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</si>
  <si>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</si>
  <si>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</si>
  <si>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</si>
  <si>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</si>
  <si>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</si>
  <si>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</si>
  <si>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</si>
  <si>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</si>
  <si>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</si>
  <si>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</si>
  <si>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</si>
  <si>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</si>
  <si>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</si>
  <si>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</si>
  <si>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</si>
  <si>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</si>
  <si>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</si>
  <si>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</si>
  <si>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</si>
  <si>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</si>
  <si>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</si>
  <si>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</si>
  <si>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</si>
  <si>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</si>
  <si>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</si>
  <si>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</si>
  <si>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</si>
  <si>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</si>
  <si>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</si>
  <si>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</si>
  <si>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</si>
  <si>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</si>
  <si>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</si>
  <si>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</si>
  <si>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</si>
  <si>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</si>
  <si>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</si>
  <si>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</si>
  <si>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</si>
  <si>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</si>
  <si>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</si>
  <si>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</si>
  <si>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</si>
  <si>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</si>
  <si>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</si>
  <si>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</si>
  <si>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</si>
  <si>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</si>
  <si>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</si>
  <si>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</si>
  <si>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</si>
  <si>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</si>
  <si>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</si>
  <si>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</si>
  <si>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</si>
  <si>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</si>
  <si>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</si>
  <si>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</si>
  <si>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</si>
  <si>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</si>
  <si>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</si>
  <si>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</si>
  <si>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</si>
  <si>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</si>
  <si>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</si>
  <si>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</si>
  <si>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</si>
  <si>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</si>
  <si>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</si>
  <si>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</si>
  <si>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</si>
  <si>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</si>
  <si>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</si>
  <si>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</si>
  <si>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</si>
  <si>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</si>
  <si>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</si>
  <si>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</si>
  <si>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</si>
  <si>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</si>
  <si>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</si>
  <si>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</si>
  <si>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</si>
  <si>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</si>
  <si>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</si>
  <si>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</si>
  <si>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</si>
  <si>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</si>
  <si>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</si>
  <si>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</si>
  <si>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</si>
  <si>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</si>
  <si>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</si>
  <si>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</si>
  <si>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</si>
  <si>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</si>
  <si>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</si>
  <si>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</si>
  <si>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</si>
  <si>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</si>
  <si>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</si>
  <si>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</si>
  <si>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</si>
  <si>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</si>
  <si>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</si>
  <si>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</si>
  <si>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</si>
  <si>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</si>
  <si>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</si>
  <si>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</si>
  <si>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</si>
  <si>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</si>
  <si>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</si>
  <si>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</si>
  <si>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</si>
  <si>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</si>
  <si>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</si>
  <si>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</si>
  <si>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</si>
  <si>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</si>
  <si>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</si>
  <si>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</si>
  <si>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</si>
  <si>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</si>
  <si>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</si>
  <si>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</si>
  <si>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</si>
  <si>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</si>
  <si>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</si>
  <si>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</si>
  <si>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</si>
  <si>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</si>
  <si>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</si>
  <si>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</si>
  <si>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</si>
  <si>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</si>
  <si>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</si>
  <si>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</si>
  <si>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</si>
  <si>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</si>
  <si>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</si>
  <si>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</si>
  <si>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</si>
  <si>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</si>
  <si>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</si>
  <si>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</si>
  <si>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</si>
  <si>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</si>
  <si>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</si>
  <si>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</si>
  <si>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</si>
  <si>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</si>
  <si>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</si>
  <si>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</si>
  <si>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</si>
  <si>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</si>
  <si>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</si>
  <si>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</si>
  <si>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</si>
  <si>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</si>
  <si>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</si>
  <si>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</si>
  <si>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</si>
  <si>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</si>
  <si>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</si>
  <si>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</si>
  <si>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</si>
  <si>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</si>
  <si>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</si>
  <si>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</si>
  <si>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</si>
  <si>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</si>
  <si>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</si>
  <si>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</si>
  <si>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</si>
  <si>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</si>
  <si>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</si>
  <si>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</si>
  <si>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</si>
  <si>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</si>
  <si>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</si>
  <si>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</si>
  <si>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</si>
  <si>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</si>
  <si>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</si>
  <si>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</si>
  <si>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</si>
  <si>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</si>
  <si>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</si>
  <si>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</si>
  <si>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</si>
  <si>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</si>
  <si>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</si>
  <si>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</si>
  <si>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</si>
  <si>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</si>
  <si>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</si>
  <si>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</si>
  <si>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</si>
  <si>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</si>
  <si>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</si>
  <si>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</si>
  <si>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</si>
  <si>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</si>
  <si>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</si>
  <si>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</si>
  <si>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</si>
  <si>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</si>
  <si>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</si>
  <si>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</si>
  <si>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</si>
  <si>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</si>
  <si>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</si>
  <si>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</si>
  <si>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</si>
  <si>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</si>
  <si>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</si>
  <si>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</si>
  <si>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</si>
  <si>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</si>
  <si>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</si>
  <si>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</si>
  <si>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</si>
  <si>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</si>
  <si>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</si>
  <si>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</si>
  <si>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</si>
  <si>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</si>
  <si>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</si>
  <si>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</si>
  <si>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</si>
  <si>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</si>
  <si>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</si>
  <si>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</si>
  <si>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</si>
  <si>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</si>
  <si>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</si>
  <si>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</si>
  <si>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</si>
  <si>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</si>
  <si>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</si>
  <si>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</si>
  <si>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</si>
  <si>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</si>
  <si>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</si>
  <si>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</si>
  <si>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</si>
  <si>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</si>
  <si>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</si>
  <si>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</si>
  <si>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</si>
  <si>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</si>
  <si>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</si>
  <si>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</si>
  <si>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</si>
  <si>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</si>
  <si>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</si>
  <si>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</si>
  <si>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</si>
  <si>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</si>
  <si>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</si>
  <si>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</si>
  <si>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</si>
  <si>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</si>
  <si>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</si>
  <si>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</si>
  <si>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</si>
  <si>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</si>
  <si>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</si>
  <si>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</si>
  <si>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</si>
  <si>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</si>
  <si>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</si>
  <si>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</si>
  <si>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</si>
  <si>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</si>
  <si>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</si>
  <si>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</si>
  <si>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</si>
  <si>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</si>
  <si>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</si>
  <si>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</si>
  <si>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</si>
  <si>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</si>
  <si>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</si>
  <si>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</si>
  <si>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</si>
  <si>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</si>
  <si>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</si>
  <si>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</si>
  <si>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</si>
  <si>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</si>
  <si>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</si>
  <si>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</si>
  <si>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</si>
  <si>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</si>
  <si>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</si>
  <si>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</si>
  <si>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</si>
  <si>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</si>
  <si>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</si>
  <si>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</si>
  <si>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</si>
  <si>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</si>
  <si>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</si>
  <si>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</si>
  <si>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</si>
  <si>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</si>
  <si>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</si>
  <si>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</si>
  <si>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</si>
  <si>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</si>
  <si>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</si>
  <si>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</si>
  <si>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</si>
  <si>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</si>
  <si>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</si>
  <si>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</si>
  <si>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</si>
  <si>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</si>
  <si>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</si>
  <si>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</si>
  <si>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</si>
  <si>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</si>
  <si>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</si>
  <si>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</si>
  <si>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</si>
  <si>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</si>
  <si>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</si>
  <si>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</si>
  <si>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</si>
  <si>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</si>
  <si>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</si>
  <si>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</si>
  <si>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</si>
  <si>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</si>
  <si>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</si>
  <si>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</si>
  <si>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</si>
  <si>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</si>
  <si>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</si>
  <si>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</si>
  <si>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</si>
  <si>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</si>
  <si>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</si>
  <si>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</si>
  <si>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</si>
  <si>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</si>
  <si>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</si>
  <si>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</si>
  <si>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</si>
  <si>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</si>
  <si>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</si>
  <si>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</si>
  <si>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</si>
  <si>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</si>
  <si>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</si>
  <si>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</si>
  <si>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</si>
  <si>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</si>
  <si>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</si>
  <si>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</si>
  <si>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</si>
  <si>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</si>
  <si>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</si>
  <si>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</si>
  <si>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</si>
  <si>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</si>
  <si>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</si>
  <si>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</si>
  <si>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</si>
  <si>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</si>
  <si>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</si>
  <si>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</si>
  <si>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</si>
  <si>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</si>
  <si>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</si>
  <si>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</si>
  <si>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</si>
  <si>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</si>
  <si>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</si>
  <si>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</si>
  <si>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</si>
  <si>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</si>
  <si>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</si>
  <si>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</si>
  <si>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</si>
  <si>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</si>
  <si>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</si>
  <si>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</si>
  <si>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</si>
  <si>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</si>
  <si>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</si>
  <si>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</si>
  <si>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</si>
  <si>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</si>
  <si>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</si>
  <si>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</si>
  <si>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</si>
  <si>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</si>
  <si>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</si>
  <si>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</si>
  <si>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</si>
  <si>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</si>
  <si>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</si>
  <si>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</si>
  <si>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</si>
  <si>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</si>
  <si>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</si>
  <si>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</si>
  <si>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</si>
  <si>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</si>
  <si>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</si>
  <si>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</si>
  <si>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</si>
  <si>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</si>
  <si>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</si>
  <si>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</si>
  <si>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</si>
  <si>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</si>
  <si>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</si>
  <si>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</si>
  <si>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</si>
  <si>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</si>
  <si>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</si>
  <si>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</si>
  <si>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</si>
  <si>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</si>
  <si>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</si>
  <si>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</si>
  <si>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</si>
  <si>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</si>
  <si>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</si>
  <si>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</si>
  <si>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</si>
  <si>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</si>
  <si>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</si>
  <si>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</si>
  <si>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</si>
  <si>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</si>
  <si>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</si>
  <si>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</si>
  <si>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</si>
  <si>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</si>
  <si>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</si>
  <si>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</si>
  <si>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</si>
  <si>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</si>
  <si>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</si>
  <si>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</si>
  <si>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</si>
  <si>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</si>
  <si>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</si>
  <si>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</si>
  <si>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</si>
  <si>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</si>
  <si>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</si>
  <si>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</si>
  <si>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</si>
  <si>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</si>
  <si>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</si>
  <si>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</si>
  <si>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</si>
  <si>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</si>
  <si>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</si>
  <si>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</si>
  <si>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</si>
  <si>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</si>
  <si>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</si>
  <si>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</si>
  <si>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</si>
  <si>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</si>
  <si>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</si>
  <si>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</si>
  <si>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</si>
  <si>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</si>
  <si>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</si>
  <si>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</si>
  <si>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</si>
  <si>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</si>
  <si>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</si>
  <si>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</si>
  <si>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</si>
  <si>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</si>
  <si>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</si>
  <si>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</si>
  <si>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</si>
  <si>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</si>
  <si>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</si>
  <si>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</si>
  <si>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</si>
  <si>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</si>
  <si>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</si>
  <si>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</si>
  <si>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</si>
  <si>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</si>
  <si>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</si>
  <si>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</si>
  <si>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</si>
  <si>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</si>
  <si>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</si>
  <si>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</si>
  <si>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TX ID</t>
  </si>
  <si>
    <t>Product</t>
  </si>
  <si>
    <t>Quantity</t>
  </si>
  <si>
    <t>Unit Price</t>
  </si>
  <si>
    <t>Amount</t>
  </si>
  <si>
    <t>Order Date</t>
  </si>
  <si>
    <t>Ship Date</t>
  </si>
  <si>
    <t>Customer Gender</t>
  </si>
  <si>
    <t>Order Mode</t>
  </si>
  <si>
    <t>Rating C</t>
  </si>
  <si>
    <t>State</t>
  </si>
  <si>
    <t>County</t>
  </si>
  <si>
    <t>Days to Deliver</t>
  </si>
  <si>
    <t>Weeknum</t>
  </si>
  <si>
    <t>Gender Value</t>
  </si>
  <si>
    <t>Row Labels</t>
  </si>
  <si>
    <t>Grand Total</t>
  </si>
  <si>
    <t>Count of TX ID</t>
  </si>
  <si>
    <t>Sum of Quantity</t>
  </si>
  <si>
    <t>Sum of Amount</t>
  </si>
  <si>
    <t>Average of Rating C</t>
  </si>
  <si>
    <t>Average of Days to Deliver</t>
  </si>
  <si>
    <t>Values For display</t>
  </si>
  <si>
    <t>Orders</t>
  </si>
  <si>
    <t>Qty</t>
  </si>
  <si>
    <t xml:space="preserve">Avg Rating </t>
  </si>
  <si>
    <t>Avg Days</t>
  </si>
  <si>
    <t>Unknown</t>
  </si>
  <si>
    <t>Male</t>
  </si>
  <si>
    <t>Female</t>
  </si>
  <si>
    <t>Other</t>
  </si>
  <si>
    <t>For Trends</t>
  </si>
  <si>
    <t>Column Labels</t>
  </si>
  <si>
    <t>Matrix</t>
  </si>
  <si>
    <t>Order Qty Analyssis</t>
  </si>
  <si>
    <t>6 to 10</t>
  </si>
  <si>
    <t>Group2</t>
  </si>
  <si>
    <t>MAP Chart stuff(QTY)</t>
  </si>
  <si>
    <t>Customer Satisfaction Analysis</t>
  </si>
  <si>
    <t>Jan</t>
  </si>
  <si>
    <t>Feb</t>
  </si>
  <si>
    <t>Mar</t>
  </si>
  <si>
    <t>Pivotsummary</t>
  </si>
  <si>
    <t>Pivottrends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</si>
</sst>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0">
    <border>
      <left/>
      <right/>
      <top/>
      <bottom/>
      <diagonal/>
    </border>
    <border>
      <left style="thick">
        <color auto="1"/>
      </left>
      <right style="thick">
        <color auto="1"/>
      </right>
      <top style="thick">
        <color auto="1"/>
      </top>
      <bottom style="thick">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19">
    <xf numFmtId="0" fontId="0" fillId="0" borderId="0" xfId="0"/>
    <xf numFmtId="15"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4" fontId="0" fillId="0" borderId="0" xfId="0" applyNumberFormat="1"/>
    <xf numFmtId="10" fontId="0" fillId="0" borderId="0" xfId="0" applyNumberFormat="1"/>
    <xf numFmtId="0" fontId="0" fillId="0" borderId="2" xfId="0" applyBorder="1"/>
    <xf numFmtId="0" fontId="1" fillId="0" borderId="3" xfId="0" applyFont="1" applyBorder="1"/>
    <xf numFmtId="0" fontId="1" fillId="0" borderId="4" xfId="0" applyFont="1" applyBorder="1"/>
    <xf numFmtId="165" fontId="0" fillId="0" borderId="0" xfId="0" applyNumberFormat="1" applyAlignment="1">
      <alignment horizontal="left"/>
    </xf>
    <xf numFmtId="165" fontId="0" fillId="0" borderId="6" xfId="0" applyNumberFormat="1" applyBorder="1" applyAlignment="1">
      <alignment horizontal="left"/>
    </xf>
    <xf numFmtId="165" fontId="0" fillId="0" borderId="8" xfId="0" applyNumberFormat="1" applyBorder="1" applyAlignment="1">
      <alignment horizontal="left"/>
    </xf>
    <xf numFmtId="165" fontId="0" fillId="0" borderId="9" xfId="0" applyNumberFormat="1" applyBorder="1" applyAlignment="1">
      <alignment horizontal="left"/>
    </xf>
    <xf numFmtId="0" fontId="0" fillId="0" borderId="1" xfId="0" applyBorder="1"/>
    <xf numFmtId="0" fontId="1" fillId="0" borderId="5" xfId="0" applyFont="1" applyBorder="1" applyAlignment="1">
      <alignment horizontal="left"/>
    </xf>
    <xf numFmtId="0" fontId="1" fillId="0" borderId="7" xfId="0" applyFont="1" applyBorder="1" applyAlignment="1">
      <alignment horizontal="left"/>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166" formatCode="d\-mmm\-yy"/>
    </dxf>
    <dxf>
      <numFmt numFmtId="166"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[Ecommerce.xlsx]Pivot!Pivottrends</c:name>
    <c:fmtId val="5"/>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t>How They Like To Buy</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Pivot!$B$9</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Pivot!$B$10:$B$23</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E1A-4E4C-A3BF-96C83A225305}"/>
            </c:ext>
          </c:extLst>
        </c:ser>
        <c:dLbls>
          <c:showLegendKey val="0"/>
          <c:showVal val="0"/>
          <c:showCatName val="0"/>
          <c:showSerName val="0"/>
          <c:showPercent val="0"/>
          <c:showBubbleSize val="0"/>
        </c:dLbls>
        <c:marker val="1"/>
        <c:smooth val="0"/>
        <c:axId val="574320239"/>
        <c:axId val="574320719"/>
      </c:lineChart>
      <c:lineChart>
        <c:grouping val="standard"/>
        <c:varyColors val="0"/>
        <c:ser>
          <c:idx val="1"/>
          <c:order val="1"/>
          <c:tx>
            <c:strRef>
              <c:f>Pivot!$C$9</c:f>
              <c:strCache>
                <c:ptCount val="1"/>
                <c:pt idx="0">
                  <c:v>Sum of Amount</c:v>
                </c:pt>
              </c:strCache>
            </c:strRef>
          </c:tx>
          <c:spPr>
            <a:ln w="28575" cap="rnd">
              <a:solidFill>
                <a:schemeClr val="accent2"/>
              </a:solidFill>
              <a:round/>
            </a:ln>
            <a:effectLst/>
          </c:spPr>
          <c:marker>
            <c:symbol val="none"/>
          </c:marker>
          <c:cat>
            <c:strRef>
              <c:f>Pivot!$A$10:$A$23</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Pivot!$C$10:$C$23</c:f>
              <c:numCache>
                <c:formatCode>[$$-C09]#,##0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E1A-4E4C-A3BF-96C83A225305}"/>
            </c:ext>
          </c:extLst>
        </c:ser>
        <c:dLbls>
          <c:showLegendKey val="0"/>
          <c:showVal val="0"/>
          <c:showCatName val="0"/>
          <c:showSerName val="0"/>
          <c:showPercent val="0"/>
          <c:showBubbleSize val="0"/>
        </c:dLbls>
        <c:marker val="1"/>
        <c:smooth val="0"/>
        <c:axId val="895097583"/>
        <c:axId val="895099503"/>
      </c:lineChart>
      <c:catAx>
        <c:axId val="57432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4320719"/>
        <c:crosses val="autoZero"/>
        <c:auto val="1"/>
        <c:lblAlgn val="ctr"/>
        <c:lblOffset val="100"/>
        <c:noMultiLvlLbl val="0"/>
      </c:catAx>
      <c:valAx>
        <c:axId val="574320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4320239"/>
        <c:crosses val="autoZero"/>
        <c:crossBetween val="between"/>
      </c:valAx>
      <c:valAx>
        <c:axId val="895099503"/>
        <c:scaling>
          <c:orientation val="minMax"/>
        </c:scaling>
        <c:delete val="0"/>
        <c:axPos val="r"/>
        <c:numFmt formatCode="[$$-C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5097583"/>
        <c:crosses val="max"/>
        <c:crossBetween val="between"/>
      </c:valAx>
      <c:catAx>
        <c:axId val="895097583"/>
        <c:scaling>
          <c:orientation val="minMax"/>
        </c:scaling>
        <c:delete val="1"/>
        <c:axPos val="b"/>
        <c:numFmt formatCode="General" sourceLinked="1"/>
        <c:majorTickMark val="out"/>
        <c:minorTickMark val="none"/>
        <c:tickLblPos val="nextTo"/>
        <c:crossAx val="89509950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[Ecommerce.xlsx]Pivot!Pivotqty </c:name>
    <c:fmtId val="2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How Many </a:t>
            </a:r>
            <a:r>
              <a:rPr lang="en-IN" sz="1800" b="1" baseline="0"/>
              <a:t> They Bought?</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Pivot!$E$11:$E$18</c:f>
              <c:strCache>
                <c:ptCount val="7"/>
                <c:pt idx="0">
                  <c:v>1</c:v>
                </c:pt>
                <c:pt idx="1">
                  <c:v>2</c:v>
                </c:pt>
                <c:pt idx="2">
                  <c:v>3</c:v>
                </c:pt>
                <c:pt idx="3">
                  <c:v>4</c:v>
                </c:pt>
                <c:pt idx="4">
                  <c:v>5</c:v>
                </c:pt>
                <c:pt idx="5">
                  <c:v>6 to 10</c:v>
                </c:pt>
                <c:pt idx="6">
                  <c:v>Group2</c:v>
                </c:pt>
              </c:strCache>
            </c:strRef>
          </c:cat>
          <c:val>
            <c:numRef>
              <c:f>Pivot!$F$11:$F$18</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5639-4EAE-8B59-57523DF66E79}"/>
            </c:ext>
          </c:extLst>
        </c:ser>
        <c:dLbls>
          <c:showLegendKey val="0"/>
          <c:showVal val="0"/>
          <c:showCatName val="0"/>
          <c:showSerName val="0"/>
          <c:showPercent val="0"/>
          <c:showBubbleSize val="0"/>
        </c:dLbls>
        <c:gapWidth val="10"/>
        <c:overlap val="-27"/>
        <c:axId val="1278012575"/>
        <c:axId val="1278030335"/>
      </c:barChart>
      <c:catAx>
        <c:axId val="127801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8030335"/>
        <c:crosses val="autoZero"/>
        <c:auto val="1"/>
        <c:lblAlgn val="ctr"/>
        <c:lblOffset val="100"/>
        <c:noMultiLvlLbl val="0"/>
      </c:catAx>
      <c:valAx>
        <c:axId val="127803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801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[Ecommerce.xlsx]Pivot!Pivotqyabtuty</c:name>
    <c:fmtId val="1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Which</a:t>
            </a:r>
            <a:r>
              <a:rPr lang="en-IN" sz="1600" b="1" baseline="0"/>
              <a:t> Producs are Popular ?Breakdown by Gender</a:t>
            </a:r>
          </a:p>
        </c:rich>
      </c:tx>
      <c:layout>
        <c:manualLayout>
          <c:xMode val="edge"/>
          <c:yMode val="edge"/>
          <c:x val="0.11522263527329592"/>
          <c:y val="4.3588921458751527E-3"/>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Pivot!$I$9:$I$10</c:f>
              <c:strCache>
                <c:ptCount val="1"/>
                <c:pt idx="0">
                  <c:v>Female</c:v>
                </c:pt>
              </c:strCache>
            </c:strRef>
          </c:tx>
          <c:spPr>
            <a:solidFill>
              <a:schemeClr val="accent1"/>
            </a:solidFill>
            <a:ln>
              <a:noFill/>
            </a:ln>
            <a:effectLst/>
          </c:spPr>
          <c:invertIfNegative val="0"/>
          <c:cat>
            <c:strRef>
              <c:f>Pivot!$H$11:$H$31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Pivot!$I$11:$I$31</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CB5B-4E8C-A38A-CC02F0592C0F}"/>
            </c:ext>
          </c:extLst>
        </c:ser>
        <c:ser>
          <c:idx val="1"/>
          <c:order val="1"/>
          <c:tx>
            <c:strRef>
              <c:f>Pivot!$J$9:$J$10</c:f>
              <c:strCache>
                <c:ptCount val="1"/>
                <c:pt idx="0">
                  <c:v>Male</c:v>
                </c:pt>
              </c:strCache>
            </c:strRef>
          </c:tx>
          <c:spPr>
            <a:solidFill>
              <a:schemeClr val="accent2"/>
            </a:solidFill>
            <a:ln>
              <a:noFill/>
            </a:ln>
            <a:effectLst/>
          </c:spPr>
          <c:invertIfNegative val="0"/>
          <c:cat>
            <c:strRef>
              <c:f>Pivot!$H$11:$H$31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Pivot!$J$11:$J$31</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CB5B-4E8C-A38A-CC02F0592C0F}"/>
            </c:ext>
          </c:extLst>
        </c:ser>
        <c:ser>
          <c:idx val="2"/>
          <c:order val="2"/>
          <c:tx>
            <c:strRef>
              <c:f>Pivot!$K$9:$K$10</c:f>
              <c:strCache>
                <c:ptCount val="1"/>
                <c:pt idx="0">
                  <c:v>Other</c:v>
                </c:pt>
              </c:strCache>
            </c:strRef>
          </c:tx>
          <c:spPr>
            <a:solidFill>
              <a:schemeClr val="accent3"/>
            </a:solidFill>
            <a:ln>
              <a:noFill/>
            </a:ln>
            <a:effectLst/>
          </c:spPr>
          <c:invertIfNegative val="0"/>
          <c:cat>
            <c:strRef>
              <c:f>Pivot!$H$11:$H$31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Pivot!$K$11:$K$31</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CB5B-4E8C-A38A-CC02F0592C0F}"/>
            </c:ext>
          </c:extLst>
        </c:ser>
        <c:ser>
          <c:idx val="3"/>
          <c:order val="3"/>
          <c:tx>
            <c:strRef>
              <c:f>Pivot!$L$9:$L$10</c:f>
              <c:strCache>
                <c:ptCount val="1"/>
                <c:pt idx="0">
                  <c:v>Unknown</c:v>
                </c:pt>
              </c:strCache>
            </c:strRef>
          </c:tx>
          <c:spPr>
            <a:solidFill>
              <a:schemeClr val="accent4"/>
            </a:solidFill>
            <a:ln>
              <a:noFill/>
            </a:ln>
            <a:effectLst/>
          </c:spPr>
          <c:invertIfNegative val="0"/>
          <c:cat>
            <c:strRef>
              <c:f>Pivot!$H$11:$H$31</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Pivot!$L$11:$L$31</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CB5B-4E8C-A38A-CC02F0592C0F}"/>
            </c:ext>
          </c:extLst>
        </c:ser>
        <c:dLbls>
          <c:showLegendKey val="0"/>
          <c:showVal val="0"/>
          <c:showCatName val="0"/>
          <c:showSerName val="0"/>
          <c:showPercent val="0"/>
          <c:showBubbleSize val="0"/>
        </c:dLbls>
        <c:gapWidth val="10"/>
        <c:overlap val="100"/>
        <c:axId val="1167961231"/>
        <c:axId val="1167956431"/>
      </c:barChart>
      <c:catAx>
        <c:axId val="1167961231"/>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7956431"/>
        <c:crosses val="autoZero"/>
        <c:auto val="1"/>
        <c:lblAlgn val="ctr"/>
        <c:lblOffset val="100"/>
        <c:noMultiLvlLbl val="0"/>
      </c:catAx>
      <c:valAx>
        <c:axId val="1167956431"/>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67961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[Ecommerce.xlsx]Pivot!Pivotqyabtuty gender</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0474932332212077"/>
              <c:y val="5.934235586349202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4.0735618848096525E-2"/>
              <c:y val="5.9342355863492013E-2"/>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863074397221704"/>
                  <c:h val="0.32068422203573249"/>
                </c:manualLayout>
              </c15:layout>
            </c:ext>
          </c:extLst>
        </c:dLbl>
      </c:pivotFmt>
      <c:pivotFmt>
        <c:idx val="9"/>
        <c:spPr>
          <a:solidFill>
            <a:schemeClr val="accent1"/>
          </a:solidFill>
          <a:ln w="19050">
            <a:solidFill>
              <a:schemeClr val="lt1"/>
            </a:solidFill>
          </a:ln>
          <a:effectLst/>
        </c:spPr>
        <c:dLbl>
          <c:idx val="0"/>
          <c:layout>
            <c:manualLayout>
              <c:x val="-0.22113746034669921"/>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26769271515653059"/>
              <c:y val="-0.136487418486031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06950846173833"/>
                  <c:h val="0.25698884737519884"/>
                </c:manualLayout>
              </c15:layout>
            </c:ext>
          </c:extLst>
        </c:dLbl>
      </c:pivotFmt>
    </c:pivotFmts>
    <c:plotArea>
      <c:layout/>
      <c:doughnutChart>
        <c:varyColors val="1"/>
        <c:ser>
          <c:idx val="0"/>
          <c:order val="0"/>
          <c:tx>
            <c:strRef>
              <c:f>Pivot!$F$22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F2E-46AE-ADB6-C250FAF8E9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F2E-46AE-ADB6-C250FAF8E93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F2E-46AE-ADB6-C250FAF8E93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F2E-46AE-ADB6-C250FAF8E937}"/>
              </c:ext>
            </c:extLst>
          </c:dPt>
          <c:dLbls>
            <c:dLbl>
              <c:idx val="0"/>
              <c:layout>
                <c:manualLayout>
                  <c:x val="0.10474932332212077"/>
                  <c:y val="5.934235586349202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F2E-46AE-ADB6-C250FAF8E937}"/>
                </c:ext>
              </c:extLst>
            </c:dLbl>
            <c:dLbl>
              <c:idx val="1"/>
              <c:layout>
                <c:manualLayout>
                  <c:x val="-4.0735618848096525E-2"/>
                  <c:y val="5.9342355863492013E-2"/>
                </c:manualLayout>
              </c:layout>
              <c:spPr>
                <a:noFill/>
                <a:ln>
                  <a:noFill/>
                </a:ln>
                <a:effectLst/>
              </c:spPr>
              <c:txPr>
                <a:bodyPr rot="0" spcFirstLastPara="1" vertOverflow="ellipsis" vert="horz" wrap="square" lIns="38100" tIns="19050" rIns="38100" bIns="19050" anchor="b" anchorCtr="1">
                  <a:no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9863074397221704"/>
                      <c:h val="0.32068422203573249"/>
                    </c:manualLayout>
                  </c15:layout>
                </c:ext>
                <c:ext xmlns:c16="http://schemas.microsoft.com/office/drawing/2014/chart" uri="{C3380CC4-5D6E-409C-BE32-E72D297353CC}">
                  <c16:uniqueId val="{00000003-6F2E-46AE-ADB6-C250FAF8E937}"/>
                </c:ext>
              </c:extLst>
            </c:dLbl>
            <c:dLbl>
              <c:idx val="2"/>
              <c:layout>
                <c:manualLayout>
                  <c:x val="-0.22113746034669921"/>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F2E-46AE-ADB6-C250FAF8E937}"/>
                </c:ext>
              </c:extLst>
            </c:dLbl>
            <c:dLbl>
              <c:idx val="3"/>
              <c:layout>
                <c:manualLayout>
                  <c:x val="0.26769271515653059"/>
                  <c:y val="-0.1364874184860316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606950846173833"/>
                      <c:h val="0.25698884737519884"/>
                    </c:manualLayout>
                  </c15:layout>
                </c:ext>
                <c:ext xmlns:c16="http://schemas.microsoft.com/office/drawing/2014/chart" uri="{C3380CC4-5D6E-409C-BE32-E72D297353CC}">
                  <c16:uniqueId val="{00000007-6F2E-46AE-ADB6-C250FAF8E93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Pivot!$E$23:$E$27</c:f>
              <c:strCache>
                <c:ptCount val="4"/>
                <c:pt idx="0">
                  <c:v>Female</c:v>
                </c:pt>
                <c:pt idx="1">
                  <c:v>Male</c:v>
                </c:pt>
                <c:pt idx="2">
                  <c:v>Other</c:v>
                </c:pt>
                <c:pt idx="3">
                  <c:v>Unknown</c:v>
                </c:pt>
              </c:strCache>
            </c:strRef>
          </c:cat>
          <c:val>
            <c:numRef>
              <c:f>Pivot!$F$23:$F$27</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6F2E-46AE-ADB6-C250FAF8E937}"/>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[Ecommerce.xlsx]Pivot!PivotTable11</c:name>
    <c:fmtId val="1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How Long We Take To Ship?</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Pivot!$B$36</c:f>
              <c:strCache>
                <c:ptCount val="1"/>
                <c:pt idx="0">
                  <c:v>Total</c:v>
                </c:pt>
              </c:strCache>
            </c:strRef>
          </c:tx>
          <c:spPr>
            <a:solidFill>
              <a:schemeClr val="accent1"/>
            </a:solidFill>
            <a:ln>
              <a:noFill/>
            </a:ln>
            <a:effectLst/>
          </c:spPr>
          <c:invertIfNegative val="0"/>
          <c:cat>
            <c:strRef>
              <c:f>Pivot!$A$37:$A$52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Pivot!$B$37:$B$52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384C-4AFF-94D0-344BDE103BE5}"/>
            </c:ext>
          </c:extLst>
        </c:ser>
        <c:dLbls>
          <c:showLegendKey val="0"/>
          <c:showVal val="0"/>
          <c:showCatName val="0"/>
          <c:showSerName val="0"/>
          <c:showPercent val="0"/>
          <c:showBubbleSize val="0"/>
        </c:dLbls>
        <c:gapWidth val="15"/>
        <c:overlap val="-27"/>
        <c:axId val="1688617295"/>
        <c:axId val="1688641775"/>
      </c:barChart>
      <c:catAx>
        <c:axId val="168861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41775"/>
        <c:crosses val="autoZero"/>
        <c:auto val="1"/>
        <c:lblAlgn val="ctr"/>
        <c:lblOffset val="100"/>
        <c:noMultiLvlLbl val="0"/>
      </c:catAx>
      <c:valAx>
        <c:axId val="168864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1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[Ecommerce.xlsx]Pivot!PivotTable12</c:name>
    <c:fmtId val="17"/>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800" b="1"/>
              <a:t>How Satisfied Are</a:t>
            </a:r>
            <a:r>
              <a:rPr lang="en-IN" sz="1800" b="1" baseline="0"/>
              <a:t> Our Customers?</a:t>
            </a:r>
            <a:endParaRPr lang="en-IN"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Pivot!$E$38:$E$39</c:f>
              <c:strCache>
                <c:ptCount val="1"/>
                <c:pt idx="0">
                  <c:v>1</c:v>
                </c:pt>
              </c:strCache>
            </c:strRef>
          </c:tx>
          <c:spPr>
            <a:solidFill>
              <a:schemeClr val="accent1"/>
            </a:solidFill>
            <a:ln>
              <a:noFill/>
            </a:ln>
            <a:effectLst/>
          </c:spPr>
          <c:invertIfNegative val="0"/>
          <c:cat>
            <c:strRef>
              <c:f>Pivot!$D$40:$D$43</c:f>
              <c:strCache>
                <c:ptCount val="3"/>
                <c:pt idx="0">
                  <c:v>Jan</c:v>
                </c:pt>
                <c:pt idx="1">
                  <c:v>Feb</c:v>
                </c:pt>
                <c:pt idx="2">
                  <c:v>Mar</c:v>
                </c:pt>
              </c:strCache>
            </c:strRef>
          </c:cat>
          <c:val>
            <c:numRef>
              <c:f>Pivot!$E$40:$E$43</c:f>
              <c:numCache>
                <c:formatCode>General</c:formatCode>
                <c:ptCount val="3"/>
                <c:pt idx="0">
                  <c:v>7</c:v>
                </c:pt>
                <c:pt idx="1">
                  <c:v>8</c:v>
                </c:pt>
                <c:pt idx="2">
                  <c:v>6</c:v>
                </c:pt>
              </c:numCache>
            </c:numRef>
          </c:val>
          <c:extLst>
            <c:ext xmlns:c16="http://schemas.microsoft.com/office/drawing/2014/chart" uri="{C3380CC4-5D6E-409C-BE32-E72D297353CC}">
              <c16:uniqueId val="{00000000-BE4A-4F1A-BFB2-578EC22F5A38}"/>
            </c:ext>
          </c:extLst>
        </c:ser>
        <c:ser>
          <c:idx val="1"/>
          <c:order val="1"/>
          <c:tx>
            <c:strRef>
              <c:f>Pivot!$F$38:$F$39</c:f>
              <c:strCache>
                <c:ptCount val="1"/>
                <c:pt idx="0">
                  <c:v>2</c:v>
                </c:pt>
              </c:strCache>
            </c:strRef>
          </c:tx>
          <c:spPr>
            <a:solidFill>
              <a:schemeClr val="accent2"/>
            </a:solidFill>
            <a:ln>
              <a:noFill/>
            </a:ln>
            <a:effectLst/>
          </c:spPr>
          <c:invertIfNegative val="0"/>
          <c:cat>
            <c:strRef>
              <c:f>Pivot!$D$40:$D$43</c:f>
              <c:strCache>
                <c:ptCount val="3"/>
                <c:pt idx="0">
                  <c:v>Jan</c:v>
                </c:pt>
                <c:pt idx="1">
                  <c:v>Feb</c:v>
                </c:pt>
                <c:pt idx="2">
                  <c:v>Mar</c:v>
                </c:pt>
              </c:strCache>
            </c:strRef>
          </c:cat>
          <c:val>
            <c:numRef>
              <c:f>Pivot!$F$40:$F$43</c:f>
              <c:numCache>
                <c:formatCode>General</c:formatCode>
                <c:ptCount val="3"/>
                <c:pt idx="0">
                  <c:v>37</c:v>
                </c:pt>
                <c:pt idx="1">
                  <c:v>51</c:v>
                </c:pt>
                <c:pt idx="2">
                  <c:v>39</c:v>
                </c:pt>
              </c:numCache>
            </c:numRef>
          </c:val>
          <c:extLst>
            <c:ext xmlns:c16="http://schemas.microsoft.com/office/drawing/2014/chart" uri="{C3380CC4-5D6E-409C-BE32-E72D297353CC}">
              <c16:uniqueId val="{00000001-BE4A-4F1A-BFB2-578EC22F5A38}"/>
            </c:ext>
          </c:extLst>
        </c:ser>
        <c:ser>
          <c:idx val="2"/>
          <c:order val="2"/>
          <c:tx>
            <c:strRef>
              <c:f>Pivot!$G$38:$G$39</c:f>
              <c:strCache>
                <c:ptCount val="1"/>
                <c:pt idx="0">
                  <c:v>3</c:v>
                </c:pt>
              </c:strCache>
            </c:strRef>
          </c:tx>
          <c:spPr>
            <a:solidFill>
              <a:schemeClr val="accent3"/>
            </a:solidFill>
            <a:ln>
              <a:noFill/>
            </a:ln>
            <a:effectLst/>
          </c:spPr>
          <c:invertIfNegative val="0"/>
          <c:cat>
            <c:strRef>
              <c:f>Pivot!$D$40:$D$43</c:f>
              <c:strCache>
                <c:ptCount val="3"/>
                <c:pt idx="0">
                  <c:v>Jan</c:v>
                </c:pt>
                <c:pt idx="1">
                  <c:v>Feb</c:v>
                </c:pt>
                <c:pt idx="2">
                  <c:v>Mar</c:v>
                </c:pt>
              </c:strCache>
            </c:strRef>
          </c:cat>
          <c:val>
            <c:numRef>
              <c:f>Pivot!$G$40:$G$43</c:f>
              <c:numCache>
                <c:formatCode>General</c:formatCode>
                <c:ptCount val="3"/>
                <c:pt idx="0">
                  <c:v>150</c:v>
                </c:pt>
                <c:pt idx="1">
                  <c:v>182</c:v>
                </c:pt>
                <c:pt idx="2">
                  <c:v>163</c:v>
                </c:pt>
              </c:numCache>
            </c:numRef>
          </c:val>
          <c:extLst>
            <c:ext xmlns:c16="http://schemas.microsoft.com/office/drawing/2014/chart" uri="{C3380CC4-5D6E-409C-BE32-E72D297353CC}">
              <c16:uniqueId val="{00000002-BE4A-4F1A-BFB2-578EC22F5A38}"/>
            </c:ext>
          </c:extLst>
        </c:ser>
        <c:ser>
          <c:idx val="3"/>
          <c:order val="3"/>
          <c:tx>
            <c:strRef>
              <c:f>Pivot!$H$38:$H$39</c:f>
              <c:strCache>
                <c:ptCount val="1"/>
                <c:pt idx="0">
                  <c:v>4</c:v>
                </c:pt>
              </c:strCache>
            </c:strRef>
          </c:tx>
          <c:spPr>
            <a:solidFill>
              <a:schemeClr val="accent4"/>
            </a:solidFill>
            <a:ln>
              <a:noFill/>
            </a:ln>
            <a:effectLst/>
          </c:spPr>
          <c:invertIfNegative val="0"/>
          <c:cat>
            <c:strRef>
              <c:f>Pivot!$D$40:$D$43</c:f>
              <c:strCache>
                <c:ptCount val="3"/>
                <c:pt idx="0">
                  <c:v>Jan</c:v>
                </c:pt>
                <c:pt idx="1">
                  <c:v>Feb</c:v>
                </c:pt>
                <c:pt idx="2">
                  <c:v>Mar</c:v>
                </c:pt>
              </c:strCache>
            </c:strRef>
          </c:cat>
          <c:val>
            <c:numRef>
              <c:f>Pivot!$H$40:$H$43</c:f>
              <c:numCache>
                <c:formatCode>General</c:formatCode>
                <c:ptCount val="3"/>
                <c:pt idx="0">
                  <c:v>312</c:v>
                </c:pt>
                <c:pt idx="1">
                  <c:v>373</c:v>
                </c:pt>
                <c:pt idx="2">
                  <c:v>351</c:v>
                </c:pt>
              </c:numCache>
            </c:numRef>
          </c:val>
          <c:extLst>
            <c:ext xmlns:c16="http://schemas.microsoft.com/office/drawing/2014/chart" uri="{C3380CC4-5D6E-409C-BE32-E72D297353CC}">
              <c16:uniqueId val="{00000003-BE4A-4F1A-BFB2-578EC22F5A38}"/>
            </c:ext>
          </c:extLst>
        </c:ser>
        <c:ser>
          <c:idx val="4"/>
          <c:order val="4"/>
          <c:tx>
            <c:strRef>
              <c:f>Pivot!$I$38:$I$39</c:f>
              <c:strCache>
                <c:ptCount val="1"/>
                <c:pt idx="0">
                  <c:v>5</c:v>
                </c:pt>
              </c:strCache>
            </c:strRef>
          </c:tx>
          <c:spPr>
            <a:solidFill>
              <a:schemeClr val="accent5"/>
            </a:solidFill>
            <a:ln>
              <a:noFill/>
            </a:ln>
            <a:effectLst/>
          </c:spPr>
          <c:invertIfNegative val="0"/>
          <c:cat>
            <c:strRef>
              <c:f>Pivot!$D$40:$D$43</c:f>
              <c:strCache>
                <c:ptCount val="3"/>
                <c:pt idx="0">
                  <c:v>Jan</c:v>
                </c:pt>
                <c:pt idx="1">
                  <c:v>Feb</c:v>
                </c:pt>
                <c:pt idx="2">
                  <c:v>Mar</c:v>
                </c:pt>
              </c:strCache>
            </c:strRef>
          </c:cat>
          <c:val>
            <c:numRef>
              <c:f>Pivot!$I$40:$I$43</c:f>
              <c:numCache>
                <c:formatCode>General</c:formatCode>
                <c:ptCount val="3"/>
                <c:pt idx="0">
                  <c:v>224</c:v>
                </c:pt>
                <c:pt idx="1">
                  <c:v>247</c:v>
                </c:pt>
                <c:pt idx="2">
                  <c:v>250</c:v>
                </c:pt>
              </c:numCache>
            </c:numRef>
          </c:val>
          <c:extLst>
            <c:ext xmlns:c16="http://schemas.microsoft.com/office/drawing/2014/chart" uri="{C3380CC4-5D6E-409C-BE32-E72D297353CC}">
              <c16:uniqueId val="{00000006-BE4A-4F1A-BFB2-578EC22F5A38}"/>
            </c:ext>
          </c:extLst>
        </c:ser>
        <c:dLbls>
          <c:showLegendKey val="0"/>
          <c:showVal val="0"/>
          <c:showCatName val="0"/>
          <c:showSerName val="0"/>
          <c:showPercent val="0"/>
          <c:showBubbleSize val="0"/>
        </c:dLbls>
        <c:gapWidth val="219"/>
        <c:overlap val="-27"/>
        <c:axId val="1533305871"/>
        <c:axId val="1533306831"/>
      </c:barChart>
      <c:catAx>
        <c:axId val="153330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06831"/>
        <c:crosses val="autoZero"/>
        <c:auto val="1"/>
        <c:lblAlgn val="ctr"/>
        <c:lblOffset val="100"/>
        <c:noMultiLvlLbl val="0"/>
      </c:catAx>
      <c:valAx>
        <c:axId val="153330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330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Where do our Customer Live?</cx:v>
        </cx:txData>
      </cx:tx>
      <cx:txPr>
        <a:bodyPr spcFirstLastPara="1" vertOverflow="ellipsis" horzOverflow="overflow" wrap="square" lIns="0" tIns="0" rIns="0" bIns="0" anchor="ctr" anchorCtr="1"/>
        <a:lstStyle/>
        <a:p>
          <a:pPr algn="ctr" rtl="0">
            <a:defRPr sz="2000" b="1"/>
          </a:pPr>
          <a:r>
            <a:rPr lang="en-US" sz="2000" b="1" i="0" u="none" strike="noStrike" baseline="0">
              <a:solidFill>
                <a:sysClr val="windowText" lastClr="000000">
                  <a:lumMod val="65000"/>
                  <a:lumOff val="35000"/>
                </a:sysClr>
              </a:solidFill>
              <a:latin typeface="Aptos Narrow" panose="02110004020202020204"/>
            </a:rPr>
            <a:t>Where do our Customer Live?</a:t>
          </a:r>
        </a:p>
      </cx:txPr>
    </cx:title>
    <cx:plotArea>
      <cx:plotAreaRegion>
        <cx:series layoutId="regionMap" uniqueId="{39549CFA-8C45-4D17-976D-584C01539E13}">
          <cx:tx>
            <cx:txData>
              <cx:f>_xlchart.v5.6</cx:f>
              <cx:v>Sum of Quantity</cx:v>
            </cx:txData>
          </cx:tx>
          <cx:spPr>
            <a:ln>
              <a:solidFill>
                <a:schemeClr val="tx1">
                  <a:lumMod val="85000"/>
                  <a:lumOff val="15000"/>
                </a:schemeClr>
              </a:solidFill>
            </a:ln>
          </cx:spPr>
          <cx:dataId val="0"/>
          <cx:layoutPr>
            <cx:geography cultureLanguage="en-US" cultureRegion="IN" attribution="Powered by Bing">
              <cx:geoCache provider="{E9337A44-BEBE-4D9F-B70C-5C5E7DAFC167}">
                <cx:binary>7H1rc9tG0u5fcfnzgTI3YICtzVbtACRF3W3Jjp0vKFqicccAGNx//duQZEcEIQeqCuucl3WYTTYx
2UBjHkz3M909Pf++b/91H283xbs2iVP1r/v29/d+WWb/+u03de9vk406SYL7Qir5vTy5l8lv8vv3
4H7720OxaYLU+40gzH679zdFuW3f/+ffcDVvKy/k/aYMZPqh2hbdx62q4lL94rvJr95tHpIgdQJV
FsF9iX9/b2/i4Lss0mDzfvc78vv70yr5JuOH8p0tq7Ts3r/bpmVQdnddtv39/c6FyPt3v43vt6fb
uxjUL6sHEGbohJsGZowY79/FMvWe/1zDhJ1gA1NkEtN6/Py469UmAcG3qPSo0ObhodgqBc/2+P8T
V9h5EBiQ/84YiPthQAYQPMDj9/ef0qDcPry7LTflVr1/Fyj5OGJFZ8vhaT/dPg7Pb7sw/uffoz+A
ARv9yQukx6P7d1/tgvk3QP83hsF92PzzOFN+YiIGWBr0CU0+hpucEE4YN+ANenq7nnB+g0bTMI8v
MAPlsciRgXwTV2B3DoCxdWJRg+uE4lcwRicWMy3dovouyPM1msZ4JD8D4pHEkSF8V8WbYnsAhI0T
ShEmCFno8YNHsxhbJ8QyTRPrdBfh+RpNIzySn4HwSOLIELYluJ3BTqvyENbaPEEY3C6l/GkmmyOc
CTnBlJk6x/DNS3P9Vr2m0Z68ygzMJ+WODPlVvE3TA0xt60QnSMfWPhEDrC0Tc6qPXPNsTaZB3hWf
ge6uwJHB+t9k8yCLA+BqnlBgVYiYbDyHgXpzQiz6bMzBlr+cyfMVmoZ3JD8D35HEkQG8iN85sgCQ
D4IxJ5YBxOvJWlvWBNSWhcFgGz/c9kuo36TaNNr7l5gB+L7QkWG+hBVnegjAjRNOsaHr+JlpjwEH
HsZNHf7CI6Y9X6NpnEfyM0AeSRwZwufb4hDOWD+hnDKks6f5iiZ49kDQMCWwjn45lefqM43ujvQM
bHd+f2zIQvjtEItkWEIR8LuM6c/GemSrYeoa8B0meAztXIVewXZHfA64OwJHhu6FVO/+m3rbeHsI
jNkJ0gmh5g+Mx8snbJ4QRoGXYT7lj9+o3DTeUxeZgfqU2JFhf7l52D6unat/NpZNjRPLILBM4vp0
dISgE2TAsplh8NcvrfZ8jaaxHsnPgHkkcXQIF8Eh3DI/sTjTAd5noj2e1xAW0Sk2DW6NwiKXm5kK
vYbvS/FZ8L4UODJ0b2W8OQirBquswyKJc/rK/CUniFmmjhgkq17O3/kaTeM7kp8B8EjiyBD+KuND
rJrME4NzZgGvHnEugiEUAt4YEo67wM5VZBrWHekZoO78/sggvdwW95AZtf/pBDIkFikyLMM0ntPE
ezYZnTATW0C12BTXmq/XNMYj+RkojySODOe7SkJ6MT1E8gm8r0ksxtgrySegV9QkGJtkL/k0X6dp
lPeeagbOezJHhjQUjGxqINKHWECZkHIwCIaF8pMnhszDbnEIOjFMZBE69sRvUmoa6/1LzAB7X+jI
0F4n2bYINvEBLDg54RYxdUbxE9gwe3fAxvqJDrFOHUMaY/iMfPRbNJtGfO8KMwDfkzkyvKGEKQ1U
vKkOMb05hLgQJBSNZ6K9N73xCUJDhISP1lFv02oa7YlrzMB7QurIEL+UD/L+n5/eDJ+Aw4aiH2w8
BTz3Cv3Qic6IziCavUu+Zys0jfOu+AyIdwWODN2PAfhqFTwcgphRIGZIp/Q5WbGfrQCODp4cItqj
uNeblJpGef8SM5DeFzoytC/lwQIkOtTrPi+1rHER51D+RUzT4mgE9Fx9pjHekZ4B787vjwzZ2819
ATW6aXmYAInODQsi1OjJVI/xhTgJhE/gL8hNTjCxt+k2jfXENWYgPiF1ZLjDO11ui233zztoSFsY
HAJjFD0vtsb8G1A3dIMZdFyb/RadptHeu8IMrPdkjgzp20061HRCBS/88xDhMsg7QtHXa+EyfDLU
7zKdjSpH3qjWNN5TF5kB+ZTYkaF+XWwgHX0AwCmsriGpYRrsyaaP46MYdmboUANojNfV8zWaxnok
PwPmkcSRIXwHKTnYNPXPQzzsoYKaEshLPq+w9tw2gX0XUNtLx+mNN6g0jfH4AjNAHoscG8pbf5Mc
wHADyBD/MqCu5JWSP8g9QzgUM2PYngGfUZTsbrZeryC9Kz8H6F2JI8P5Jt7cbw9Trw3rp8FiP2c5
JtgY4kOslPysH3uZip6v1zTOI/kZOI8kjgxnoB7vxBYM9yHWWwa4Xig5gJqhn1juRL6H9RYiCPbH
jgsO3qTVNNITTzYD7Qmpo0S8SDfFQ3CQKApsbEYmlAnBVrrHz3iGAyODNCcCK7AbD30a+rco9ivg
964zG/w9ySN8AZxg6x1ixkOuCwNRg3zXOMnFYbs7NeGteLYF+9jP1ul12HcvMRPxXaEjA/tio9T2
ALWCwNcY1sGLP7ExhMazHKoVDPiaQbXgLtTzNZrGeSQ/A+SRxJEhPJjNJayu7wN1L38M9T/QugIq
j7iJEIdwySvem5ww6N+hm3TCkP/UaM56cBronQf7eZkZeE8LHiHsl9CG4xBWnENJGeMQRXu21RML
bsiDYIiUj1Zhw8jPVup11HcvMRPxXaH/BWj/WsWdpx7amvz3F3P7jV1pYGpDQtowLPxKqdmwSQdz
wjGU8j9+ftz7qWkJVAP97KXztDibsDdP7Xz22tK8lN15xqdH/PWg/K9rOAMTAoLdYlN8O0y4mw0m
eCjIfyVqMgBpmRA3oc+xs10g36zeq3N24ikn0N35I2i8NH3/o3wH7KLqfzqxVycNVAq9qb/UsCeH
Q1QM/ag+GfNuCJvB3njw49b+EntIw8zU6le471xjB+HpJlNPoO9IHRviwbY4SHYLmlgYCIqAzaf8
9BTphi/BIMAmjuEzds+z9XoF7135OVjvShwZzuu0OwT9grAZItCtBPZy/PC+O2Ez2F4J5t4wgJnv
mvO5+kyjuyM9A9ud3x8ZsrdQYHSINAc1Txi1DAu41eME3Z/BjxEUgwEB38V2vkbT6I7kZ+A7kjg2
hKsSCk4O4JEtaB1FCBT3P1OyPY8M5SbDPjy255Fna/QKwrvycxDelTgyhC+3KVT8HibGDSAPxpnz
55p+cLQ7JprQE7DfBqVDDeHL/NWblJrGef8SM6DeFzoytD/DKFcHIV3sZKBUFL3WLG6oCrUgYWmg
kTt+g0rTSI8vMAPnsciRoTxsNM+kOkABAsREwOdCmYn5HNEeT2mA2TIYN8Fz/2BlOxP7DZpNo733
bDPg3pM5MryvtvXm4RBow5w1CIdZ/dzLYi99AVt0sAVlgmMvPV+jaZRH8jMwHkkcGcI27F09yHwG
hIcdlAZ+RnhvExZERsCsGwDyrouer9E0wiP5GQiPJI4MYYj3vDuTm7w6VM8SSDgzAnHQx8/ERCYW
tKOyrOmQyNuUm0Z86glnwD4ldmTYX2yiQxT9WtCohEJzKajzfvxMzG0L69gw+SjqOVefaZx3pGcA
vPP7I0N2eHkvqkC9u/4WqOwQYTAdeDcxwAlD9Hr4jAnZUGEAW/IwJhP55zeqNo33a884A/rXRI/s
LfhvnAUHaYYBvWwg/QzO+7WyfugACh9d56M42XyNpjEfyc+AeiRxZAg72/jdlYTzWf75UBlsnQbP
Dc0ih17sw2evzgCW3mDo4dAMMPAvF1tvUmoa5/1LzIB6X+jI0L4NVBR0sjoM2BSKhciPE1LAaO+G
zMiJATNehxaCu2C/RadprPeuMAPqPZljQ9rfqCEB/E/vwIPCQLDJUOpJX+ttQ6CNEVQIw5swwnm2
Rq+gvCs/B+NdiSNDWAzR/X8eYApJaCjpH7o3P1ntiQSHDtVFwMtG6efZCk3juys+A95dgSND92v1
7QCzF8CFmi/oRQQ9Dh4/eysrfKLDqsqEGb47e+fqM43tjvQMaHd+f2TIXm2yQyAL3T8h7cxgVj4h
uxcogQ12UK+NwEXvIjtXn2lkd6RnILvz+/8byL5+NN3Pg/6cTblZPB4R+OJ0ul9/+zg4cLbhSPSZ
1U6UT/4EYf3w+3uAjEJbVrCnP6vDhgvtcGJYcQ7+fNhX/wO/XdEtOPzf38PJgxhYNRx4A1zLgpY1
BhCxZvv8FbwDQ2Mq2KUBETPIYL9/lwL3939//5QegYZWOlQGYyg4BK6uZPX4FdSrwFFKcEIHQRBu
pbD348fT3si482T6c2ie//tdWiU3MkhLBSckYvT+Xfb0u0FfHe6ATG4hk1FoivbUTDq733wc2rXD
SPwfjj0cx4Uur4lZxIKULbFx03WLtk0TQVoPrxs3Wsa0W6dJSjJhpf7XxOJnSR0sTatcQfPVK17l
61DXrnvNXSCWdHYccnkRB1xeh0HxuUPsi2llyDFV1wlTKxd1F90ZhXsdorIXWeRFIpUh/9B6tPdE
0YcZWsSmgaRj6g1a4BZd9X5QO1bP6pXv+rEd6WYqUlT6doCtRR8WmcBe52DTW/SuDISFdHlaGU3i
aC67aruMiq7rQ9uwlO74bdk6dY0+1bh0eNgtGlIqp7RYZBsoKIRe6PcGPKedJXDd3HKTZVXHUqC2
CYSbhvdWYJmLzpWpqBI/EnHnr/uUues4Cw0bJe1CphpaIUnjc13Xmgs38C3h1klqsyL8FORJJLS4
xHbhhddSK2097ALR9GxZGhXseM4NO47yTwb3rrMcN4LS5oK1Qb6kuVsJN0srJ9XizG4Yym2rgDGN
8uoyy8LMjjoZL/taW2WFfqan5HMS1h+t0AW9m1AXfYNPOc1D0UXBQ43ppZf2Vz1JaruCXaKiCosv
canZbiUrEQXZReWbochg86jtRZWt9W1py8iNhJIhFVkZUicmxjosjQ+R2/mCNqpxSO8tcpaYy0aT
9zkhgSBIXRHaLFiurSRKLpIkuMZxdU5pX9gJU+d5De+MW6mbPDBKYUYwNKjuqgWzpFCpZ6uwWuU5
veS6Hy1LS2p2XofyNMKpE2Xaqgi1m6iV6rKP8hLQCwq7Mo2PkJK6tLJYLoqubm2WMG6TKM0ElX0g
YlaqRRghLuLGXShP3bVW6y/rML30mPtnl9fdMtbMlaeo4egl+szy/M+Q5tzBceh0eWk4ZuB98Bp8
gdvE6b32KlfWQ2E0mZPUCsZQGWsvD7DoDf2irNR1IFWufZCSx/22a+PolCeJY0XZ58j1crvu63MV
9OwyraLsLCytrzJCH0u9eDCzzi7yVGS9t/RSw8lUc2aV2rJA5FzG/lUg5VkbqqtUxjd1GkVOrvxq
FbtVszZc/XtvaFUowoayVVC5vBYsrftbYvSXXl6oFY6DZukFeisaasB92SqLi1XDe7XouH/a9PSm
0L8qDXsiqaxPqYVFHHrnBSkCkZT6uvGp8LL+purJqVsHjej06gMYO1E0pUOIngkt8ODty90bqsoL
aB4hRWSW57IKPkKXXdvtvNs+awthFBUVfhuEghQlTJSEpyvLw3RZdHGwpJGxir3AO81jDcwS8c2F
7GJdaBW8OWmGQ5HCGbAi6ZMbs9W+cJbC6bToITFJZDMZf+5T70LHERVtnjFHp34tUOFywcPsm1lp
7oUV+ZdBa4KZQOgmkQlMBp7j64bGW9rzdoH6ZlsprReJ0X6kTZetaVr/iWWyzBn60gX80ozzpaUS
30lamC8mU2zVVt4faWtVTtSky8zsVrUrHZQVN1YQnyMjXPYqq209d69CXgZOYESnMu2sM67pn8zK
deDOtU0tdodhJ//K16Vy+hxni6wN20WukcsWpsENl9ZHvVOnbcwCO43rRPCYCJKFWASSEqHz0oFn
DUQZKWZbQb7x8yyyy65shRHHC2zK7551H2T8oyrpxwjGBPwAtomXxqKMzZukJEvka4BiHTGRubwQ
dd8EdlOHKz/PuQjC2BJdqT0EcDnTjHJH172zWPeu/JBEwqiC+pxpOF0AoN2pTtqPbRo7OMl8x5MB
diozPbXa3IRpW3jrVra2qzmRSc99yzTsKuZ/ItUHazDHwmuZLjzWLjU/vyWBuzL6rrA936gWbYB7
YXnqPiJ+YGuKrgqd96LO80tP6QW8NdltpbcXDKnQ1mi+qlKw9VF21cgsXme4ufbK9iPq5EJzabfU
DX4uc+tUw1pz5/ddtWwqso2sqhWK8w+Jz8NFH/fUfnlK746LvpdZVwSe/3ze8s///M+dTOB/j8f2
/vWHw3HNf/3XaiuH3SFq/KOBT/381V9H/w785ec5wCNW9HTm8w8S8ZYv38SnhozC63zq6bi2fSr1
WFT9g0rBiRfAqQnQFNgQBQmnF1QKCggIBEKGehKKCeSYfzAp8wQSVwjOGR06lsAJk7B+/sGkgKMD
L4PeobA92ngkWT8GYQcm4JETTIqSPSbFoTM4giI12MgD52UNu+xfMimZ6X2kd666RjG9i6S6JUo/
B/f2IWqzUDQ18888JJoEs9Ow60IniSJ36dZGY5dt5QqUZ7ngXVM5stM+Itb3tp9xLBpWGkL1+EOJ
ciKYBddKufQXcZjhteUVRGR+fFvwNBR9Kk2BZXup5UiKJAVC0AAZsLVWdx1ewgsb10QTRdnkVyhN
7qCRl37J6z69CAkphTRILjxXeQsS8xVTlifMWja24fue6Iv0zk9N8PhakoHxVOs805euWXoLFWEi
OEu2fe5/LlCsiZjop5Jqt1ofYbD94Jn7vha97n2DXVKhyPUKfJpsFmmxDsGBevShhlPLqV1a3qmU
ruc0dUVE3oPn4l0UO2ncRkAsFJi+Ltw0vcxEWxYPVdmc4TJrgO7BAxW1u1aFedNpPBNdutD6i6rE
Zy0z/9RDYy1RyITV6cixuH5ReMVNkLStYLWZCdni68gA/uuhCuwhAkgoV6L0PLXmBUNCuclH4jXs
g6X59y1JP6jUrM7dmMZAQH28JLkkYBZqvKTgyBaZK8tFHBWh40YNFgUyL0jgr7sqYMBPfCc0049t
pEKB+govcppw+5EbGxaQRwPxfOHlZX3rlYjaLrb+8DQZChlkqxyFZyrid8zqN1jz0lXSRaJE5SKs
fcuRBNhoRgtfZCw7bVBNbKPMzyC3qwC/fGXRJLQjF6foJmNlemu6Ody4UEDB5XXPivtANnJNau0G
XvCNJQMpitBLz/wIfyny+rLwwZdpJgudoKHbtqm2Ne+6pSpboMnKdE95q38Dn4uEBFXsCBzaMmiq
W5146jwx0Vkdhl+z3joHL9bbuvRXstEu8q7LhEImWpaeiwUQzEYUSl2VYQ/Tp77zPfdb7nPzNKVW
K0ItuXV76ouWVH/klK+B83mnpi7PINIeC9kZydJU6drw9E+Fj/yzukwNEYX9LVyzuchrvbZbS8pF
6RmFnQbABesijZbYGsBraWcjwzUc7LI/gOUWQMyqSiiVpmeKVK3dapwLvwtyEau4tPtWyS8ecr3T
1PeLmxAWgUCkcqdNO7w0q+SzSfpQeKW/BFeNhSKwNsloli7cOKwWKogCmO0lWatA+kKGhu8UpFqj
3kTr3PTXHLvxygBdRG7QToBZBHqcqBsVwrpJ5ukpK/PTUDOcUPalCMMytLNYA86ps9LWEGlFx3zu
gFN0SoZTweFfNKbfhJ4lpKo/4TY814vqTNLuymLFbc3rSvQqWfkasPw0cXuRRviqbqtPgdTTYaVz
k7DqQ+Q1n82ovVRJ/0W5jIuoLsHgyPCzUZMz1qLTTqm7EpZwIq9SJJCUVFhxexGpfMFRIZdJZypg
eu2lW9APUdrFi7bBC06yM1JVqehU9Z3p7p+Bh6+ZDK+0OrvJQ57bZq2+uS7Q1Srqv8S+ooLlprlI
w+RPlXAi3M71RUmyO+mz81bL5KKO4a0pXauLPtMq1E8DZqR0BQezkIUv2zNLD6Tz/134Y0iEgkt7
3YUPSfifG9H3Pfkg/DMoMkS/MIeNVdAiFPzly6AIhYYmHEISkNR49tc/XDkc2QBBNXDWf0n9cOXQ
AxyqUyCWgSm0hob9eW8KioxDInB7BlwC/oKLMjRy5HoMlWyhW/TXfflHbrqigrn1YmAmyMJwhb+C
LsN2MdhSZkLJOoNqKbgFZNVfUoU+c42szSi+Vi24Y7TU40Ao/aGuT399n+E6v7oP8KKX95EazvIi
0PG1DusMXFw0/OHXNxiY1S/vAIGql3fwcJ6SyocnIS0XNfvEre9S62xLu7aqegEkylb116w6rYKb
UroCB9vQX3reDZEfwAF5TSbK/NzQvYXppsDrP1ThbQNrqNZK/mYoMIT0fqkpEMGXmtJAc8umGMaC
Ltw+EXn2R1UHtsTsuhniI2Dwgu4714B3wL+aRvBE7IFvTxPEodv8ngJwnsjjqbkMkjoDf3wRaUtN
D5c14t11V4cBtrFVxBcRI7S0u4zlmW2FKK3WoWmeFa0SetV8xHFjiCaVnl0jrbcLPfdhXVehGjwl
OmssKNFfxckXktCzxkVgC4kW4k8tePkVjazQFEDPRBqGi8Io1lnVCVLnS1x2Tl12K7+/ro1gkXgM
PIkmKqNfFa11k5Abtw+XbgWGHfiQulOeeUnLWBSR4dQpKAAUAWKJNu9j0YWZE+l3Mstzx6BAEvMC
BhHbFa4uOEoWTXba5V9UmIhOoyJv0nNcsg9heBm2yapOifyU6DE4xJ4upHVXMsNhEKUK69YTeuAx
hwW56SAzYQsZxV9LLRNJ0hfC0l3lRB67+PXLTCcY/MuJP5SqvkSoCSxwrK3qr9GKnrrr/qL8g67M
dXGtBL4oT3O7WJiOZXdLap8VZ8lSOu1XbQ0hqRVaGZfBMrz8tULD5PnV9IUkwkt9WBxXPBleWRmt
JfjjxgGuli9z9DfmaOrNfGmORgbPDJI+9n24jwYu/q59yD07qGxGHMP9m0kwCjc/Wb6XkwAWhS8f
yYLnL6gVkGuf2iFE7RzgVIUnGgjGQZDxuvm7R5uygBAkh/0kUPVi6tYI0sRIWs5jSq6bUIm0/wbc
9tcYTRnAlzcYjR1KA57WHiHXqnYqPRKNZqs2+huA/u4mIytrtRaEOUy4iVUDdz4rjTti/Pnr55hy
SS+fY2QeO/DVRZHo5JrA3G7jRiADAsdXlt8+PctzIufm6f19ykG8DES8jEvMCXBcBveFVPJ7+f9o
hOMlwdGhc8uL0R5CKDvJopddOJ4Kqx5zL49SPygRhkZuwxmvCMqvIBGjv6RE0Hdi2DkBx5yYsD4e
ElPPlIhBVT3QKDi9aGgdApVdgNoPSjScHgkXhK5CJlSHwPHOb6FEeJiXf5kiSBNZ0AoUSnwN6OxN
of57NI/KnoKRr6r2Km2otagb14dVMw15ZEe8qT8Ymt6dhS3EnxcIReXXUrL6U8RUmwtlpfkfL0bv
+Q16mbUaDi8eawM0EA50AjbIhrLVXSvC0i6LLL+qr0ie4isv6lNgaVwavt3CQsQSdcOqr7zOIGZZ
JGaZ23lYRJ5we8WZDR0z0werLNE1XMOvHBLH+FOvayZedYbubnGn4Xb5a43Jrh16HD8GjdGhg5el
cwRL4JHGAfcB2668oq3ueY7R9vGnGo6HpMuSd1IXdddiWFZz1xQ9NyAd1EWIrpK66LBT1LJ88Ful
sB1ome6oMpC1KBMf1YIXeuQtPBn6N1FlnSXK8pUD1QbWZ+Xn51Hc6O0iUBp4p8Kvk9Wvn2ofBsgK
IThvCWoGod/c40O/YDS807xGy2LIPcD66rP0TIgDMYi+ZgJyVO1N0xbWbebi+Muvb7trDXUEETYI
5HE6UOfhH4NaL26ro9ZjmfLSq9Ts8RWO/OoqVYUdmK7/+dd32nWMT3eyoGcmh8ZqUKRhjt6zLGUd
UBpfXpkZYpu8kUW8ckuzIyLK/AXKq7i3KepMaYdUb5K/e2nGfASekgy9CRicTAap3vHtoct+4Htp
ElzxPNI3SVjpmygedND7RC2MQkpIVwD0qybOG+CtkeTbMrbUurE6dtEatEA2bUIZ2SFPk0+0yAh1
fLPrthksqB3glBB40i3JilOdGn31N14L7wMFxStgNmDbD4HKUwY27SVQyKj0VNdd7RJXbrIJilJ5
AmtRmTJBuy71zho/iL55kBu+aCF2uDQkpDltgmv+veR9L+3O9zjkb8J6GxSUP9R65vOzX0PM9D2Q
KQOCAEdVWGBbYXaOWJZRmAEq/JJehsDCXcuETLDfryBHTK1lWVeVXbQ5+gApSr0Svu9zu8DpSpEi
W8UsI3YU58nHLNaTFvIujfdHEyZy3amyFJmeZ58MFZmOm6euXckwDERQ0rARbqjSqybT1HWuAfn1
PGyFQuvdNLFJ7SenulHGH0no3XhdSlsBPDC/Kt38riSJRh0IssBABh0B28CqvheoMcOL2NfNry6q
2JlvmPgCUpK1ZTfIZwnsiOqCtWYWXSKazuwd3Oia04ftfaby8rZCGvchMF3ypavyas1cQu5yHzfR
yuUaDkTvR+43WCoXtQjSXPuzSnjiZJki60im2RrnVvwQ1JkB854m0W1gucNiMGfeWeEWld3BOKww
LIWv8wbim6wpYBWCW1wvYh3qD+y68UzIgBLfXSSKFk6VWde+q3nIwViWp+BqSGOnKDSEWfL4S5sg
/5wUVnar01JfVVaokaUykn5jGrJYKNSG/bKOTG+ptS3aEBU335WXZbrdkxJVIvVI7S3bMpQwOZpm
0Xl1ZS4L6fpOXNLkNIWfCticWkgY6KTmIlRhqNncbSBfKPW2F6yMXZuWWpqsCiNaeKzq0IeGYuYE
CuLfEIhjebmkZWOpVUt5e2FEfR+7H6omLxNYCwVxlxYPUMhASP9VNVrLE19YBZhyeU+6JCxpAdV2
VZWhqzIqkwiiVEHer2qrKt11UgRBJkISy1vENboOO0oruwIMXNHlCIJdvZ+YppO6LvjDMo6afGFE
jYfsAmoO3Gs/RwaH5HnHG9+BRLRVXhiQ94M3qnElVo1dgS9cGpofutc1TB3Ds3MzM+GFo5FKlmkc
FJaIc3Be7qKtA8PWXOiXpYvORSmzJUTKExvixI27bGIeJwvlAitY6qmX9LbZ62AxUxKxyk78QotF
rToP4pmBliQL6QXmd62qeYAcJEm5CphZmVe65nruWUohgaGHdtqqvO9OFRQ2F/4i83yeLFxV95B8
LVQaLLvYSLpTpFSS2TqB3LENQekuXkFZRaDZACv5Q8uSHjtwAlWUOPA30q7jEGkKhjxN/wiTxErW
tLDKeBH5pfGxr0pKl6EmCT73G19xCKP6xC9XblFn6S04Y3oWej2JllUGGixkGXv9wsRtD1ngsMua
y8Ts4NXWYKoUjotxdVbA+jl2PJd6lQOrB4Az4Ar4SdqHtN/GEfQ0caC2Jk4c2iV+vsYoYKdewCMD
KhiinDqBDFynr9wIMuBNkVk3IZR3MJsGeQgZ6izstXPkxmyJM9fTQV2LZwvc+b1c+wFuvEVkMb8R
w+8EhmKWFF4fj+Y21LdAhrtsA+3PAprxdJoIYB6RK9w/xsnNmmn0rosbUl0ZmdVJJ7Xy8lKHPGoM
hRI8AgEroTBaUPCC0689jlP/LO+SuF2qRu8DWP175R0Lib7RWzdxhYnh5V1WacvpQhl9AMpXOEyc
mOaRsk2ozAhwkH+NmwaYReiF9a3SjeZbVvj0tOaN5y7MSEdEpKYL19FjGbbLtKjxVQ/RNfZBlTq+
wyUEwkVjaMq0S9xBLr8mSRicFi0hzTqFkDi5DjRufU5RPrycYZirFY+Vr27ajpWmjfIGsPEbiDE7
UoHRPQcPZn2mJoK3OwErWTiQGGzlulSWS27Cooqij8RMLbZuWdhUl2VbDuTT79obPdIMKA9qEri1
lENSrCVJ2a9QxIeHH1RvwD6BXlmCr5iewlNUuQ5D5Ucy6m0rqmHqZLEXBR/SgsOULypgBR58BzaV
lKl/nWPWFamgmY/+h71z240b17b2q+wX0AJ1oERebkl1LpfPduwbIY4dkTpLlEhRT7+H0qu7k6ze
3Wjg/zewgHXTjSBxlatEzcOY35jC5TbDPF3VjuhULMnUz9sZD+7xN1b33ho0cDMl+EQIIDN31zp5
bOqnzPP5kWkpWcwELXEubB5+No2PX2MeCnvnjzNRpxxlbnFqu6Ys7hmyxU41xL30PO9fsIc87GMR
COkdW5ZzjMpEm+vUDlFvUOBaf9d5+FoTjLrsl7Iq6c08KdLue2J1+WzCOlf7OnPqr3bhawyRfSVS
9AHM30jPCrXtwpo/OwRoVm26HIPTAGHODkbcyXZUJ16XBU2pN3g5wh7FhEILjz+BFNL5pvIa3CaA
1Xx+CJrW7T9qBGR7hGKNe8OsEXsDnA3f6AwsZ4MkY/qTO0xemGS8GjUyra8JSu++eB245g+ORZl+
XPg4uO+jaqyKa9eN9EEaDy81165YksDkYX7A7EeYxCl5uF1arcer2UbVfaFVH7NI7YN61nS/mBAX
pySuWkDjlG171YRzcHZGErQb0Te1PuXWdCJhFLzJAyoR9U54gzCC0Kl0XAplVMyNZj2ygO3vq7x3
5Se3XXyGKSwqMPvYjb7D8WIqGzYicsr86GSdeRM5cXRSRSosD5IT93ZWTgZhcOqV3MhlwiGVHriv
m7msFnqpw66qoKRqEl4FrgjmxKK6URsjOlw1wxq54nxRLWOmFEiT2Z+HVFdADXcL63H6y2DOo9Rm
lqgk61TYPxtq3YdCDDhryHT8CWcdA6+GNy4CrNfxYstqEZp4nl48NhnmxmWpo0fqNb1JDc3H4CrI
Kqbv+kzxAckdJ3rTSR9XE42Dnc/SH8v2HA2d8G+8mVThIZtbjs81z05+VQ5OZ9JaZYgZqMam8aqq
Mvz+Ay/zrRKsFKmZCTnYPsB9b4EVyDjIRPSL8vd/JpL8oLb8G7IiqNH/90HTdvhQzW/Ll3/Hbr9t
hPknK4KtbXiCJMUuxsiPMGFBj/gbdkv+wdE+ehjsEPyLVWn5fcKEP6OxdH24an6UU+g/OJ4MD14k
QkuGB2oEf0dOgesOrc+PeoqHWTB4FWxw55SuS52/b43KukLKGLPoks3qmI+9bq5G49kwKWrddcis
clp2zCiFOqnO56eWC2LTljedOI2FeJl9dY/SwKZCNWViRgCSJk/LBaydSxovbd0qjFtevIF0lrHf
ULmxjkI8wF2Lp2WPSVg5L8hDd02NeDu1bnk7Rp24L0u552YGYpJNSYWiKCfSuZRZw0zc634z1E7+
YrtR3GSZkOGNqGx0QxumBCIc5vKAvaqxTWlWk+YhRH26zQYuzEbNbjai2VFCPk1BrVD7l+a59Ljw
U1W2eymKwu49MlyhkDmaid7RPLBpFjVPZKkepkD6cSu6Lx7E6jgU0xuypkyGsdhgG+ubWAP64ASX
cPKew3l+moSkqO6ds6Od1KkDzJakwp3adW7KLJAM1UTBxg3Es5f5LKnD8tXL6X3JzHVRQGKxjnzH
LPKhnoIPEhRyo2p8KZSNt5FfdqDQdL83eP3Yy7vy1frIQKWRe7Jwk/a96OO6Yg995XrbtilBKqNZ
iOfC24sRVZ7WQ1obefCFX8QUIFmMVL4AgSibjVf0qDuJPfqdd5t5U52AdUCBE3j7tsRkxWOlSbid
vYPV7so/knfS8pRNqkYhTrNNGald3fDPuWhP2Ix3Uj5fpRHHif2F30dZpRNIRNs5c94pX7YVmQ9d
1l3yAd2bzoa0G5ZwXzejAPPSfR1bB2imNGU8OfUXIzjAadt8wpEeY4/raB8GY7nF8boNXLC3I2sv
Iy2cOFiyG3QWtxR8X5wL9y7rHGcl+QQo6oEmBdUqwXlLATV+mgpviNt8PI64gqOatphzyd1MgyUO
Sd9uwFYfam2v554+u2q88FE+FCNUDUnUU52Lu7XQSDsy7dw8dA5FOPpI98OdjbIHYsjt0k+4RVzZ
pRbFb8ylBCk+ZDdTtuxtlTkHf3a+DL0jUhJ05c7SjCBL8ioxExDdnKodi0iQoq5ajm0XXRcojbct
0PSkmxo/qXU1xn1gzrR036tKHuXEKkxq5FVYdJiHkegED6i7Ixy50oL1dXEDpIFbfB5IZ7aWj9d8
CD5pR5AEt7qOC1uHiZj8r7WdFihN7d20dMk4RftlnQBG0dqCNu2SjKV+9MzS7J0ApzPLQUKpSn5U
1lt2UxR9oobeey6usG5LmVSDd2CY86c+Y2ehMegMwU6AVw+CremLa5mHaeiUd3WlL7nA2TZixc+K
ciNrfgMatN+G1ah2pjN+2g+zjfsmfDBurxMykK+ZF7wSv/oCb8WhNz6JZT7SOHO8j0A5T6qIeFLX
9VNtRm/j8ene2tHdybB+aW1wok5rqY7RKKngGAVzeOsXrIvQTxMLFah/800DvIn2uMtBd020vwqd
edwsZbujenkbfO+lh29iz0kzxx2PbpZJNykbBUuDIQzxUf0m5sJ+ASCiDiQa70UzVgl0vWoPDc1C
Pi4LxFr/tQuD+7FG3W+Q7bdQrjB1m8oiLbquAS9ELnoCVVJS/0MvlqcNDa+KwtMp2N5oX5YNT7QT
VDFHRx7XxPgA+MwXR+NOdlXg70lm6EXOFNiR6ueUOZ5Ifa+/M02ojpZF48ZFzVnKZsZ1khj0+jaV
MAikthDdVR2Zg62z17qZ57R2gnoDkTyPIVVVSTcUX8KoiUDoFsuGNtk2D3y7D5uhP7RdsC2FJ1MR
hdWWMcy/EQ+XXVP0rwOjaJqcXW6yHfyr4haobwg6S4LpVRjI8bHm29lp2jgE3ngbwgWyBRt9QMt4
LiKZb8e6YDvVa2B7mEYkmbb2KKbpvQStthWoNI9e5xcJ7ZZpU855sxdNszwupsa1MdbZUpa3sdPg
uubozGI66gNajSHGHHFJKopqt+LHjC8nRy41eq1u2GblcosSMUX7f8+cKDwvqkfDMS0inrS96Sbx
0HiLRUJ0qy2IOBlPwhmg0o5fwr7WoLgDtpvZiILVzccElNYcu5W4GaV302QLSctW6l3XLSd/zM7g
/NKyX270oMqNX/Qk9TJM5mU0XDgtvrCmfqtUBiYp4lkcYhYCSJICqmJ2k4W5TvKlr2JCzJM7lZ/b
0rmpBnlfAupL1uc1bYrBDeMh6D6qJfqa1wQ+ED9Q6SADvKT0mtRU5KWDRBLrSV4yPrVbLMjTqemH
LGmz8tSwmuyLucifelGBzcteQhTpsYdbFwrM16EeX6jvxFSMl07jKAdj/SWjHt+g+S/RsldPU8sk
AEOpgRA4twuBWcep5JXb0QwsX3mqAM8lAXIqdTQCmOt+zEztoyk7s8zWOyLtscoanvalExe0ea7t
cJkbr4lDC8FrgDaBC3rslXuiVf3udOyrmZ0pDsESQFDcZ6r4YI7eqqkddwpiherwt6Z1nkhBoGSe
6kKg040OnSo/86l4Q4eTdNohcTFEh0lm66lhMIqEw3FRZltBKolljfFP0anTvOA8y8wbtp4XfPjw
5cQeje5lkeMfI4Dr2j3LoXLjgAC1gA4vd6jcXlGBHeTcbntUOrE/hseFtnUydfI67IFWcPPs+njx
bm6hnBWn0oRi59fjlyAHsBllDexDoFKj+mYtYlwfCY83+Y4Kt04t8y9zKR8HY8BqKgJcvetvOsnP
1st46of93eQMBvYE6iZLUO+mdl5S7RWb0DU1Bm8di1Vd51uZ4dZpFh/BYrD3te7x0VijNwJ1Z8wq
uXEaOACaYDhEvjgaW3wVLpXb3LBr6xa7dtkpDrKW7QbbpO58Zk75ICoNf1IA2ZgwuisKDZo2QiHj
L28+M9vQ5G+gY86BNw0oOYjAxeo/A/hctQyYjJCI9XDC7fOQW3ChcmRPbhfFc9iiCQRAsffzau+1
1UGPZZoxv7ttwgEuDkzSQ7ORIGecZ6HbliTgbNVwLGd8ZD+WaGf1tq20Y28xpnttCJVOGmRtHudL
ZCQEs/LYgnmN5xK6InHQYvJ8iofW2TqwNKRN6ZitDNo0qMspzXT7KWPusmmY7jF9y13IAgVGJM29
CULoVX7wFUPD50BGNK5ReDmZHLec8oOIgs9dM9/MEqKniOCkEHKsMQbFHVKWQR9To93YsXAx1MKi
LiRIbAopDddvvXaozSdu45yLcz+4QVzBkDKP0UWPEsxUdHYxJ4wbVXx2uU0VD87uYlHdtN0bcosF
RQn3W8MelZTBcZzIxwJ9dbcUJIytZvtATzd9uAgUeZhhoJWIUdcYgBzN+2DqvR8KJ6GkXba9Cs9B
jyFDqWG+hM+E1q3ZI+6eufF3kaVIdlSp/aRxRxce3hDgclIGlYqVq1HeLGG8dAV0HFS73C1fy14m
gbguuxIRwMaQUQ50AJPEmb44qunjphuva1q8wxRRxjCCJMbKS5uTC+XwWjX6EnjX4VhjDNKnw+Dk
R03aZwjXh1HIlzEaHzveDnGxkA3kgzmM7udcJah7L7b3XmXn7rlyEBnr/LDYaDkUU/WKX/BRSPCx
EWrBjRg7eUJUeA3qVj/Xi85BPhWnGdJaquCkSWy9XBltvaQP3U8QNT7PRXlrTPO57BhIYDXiJPCX
irYQEcRzjenV/x824t+voV95gf+9of91+8f3TMU/Tbj4uV8JifX5heuiA5/i8cMI0NAIfmvp8Vxi
eC/A1sEaS7mPv/qOkAApAKzid3jin4QEdmeszASHDRswAby50d9p6d1vc8IfWvoAju51ySXWNeCR
AOvzzb9v6V0YGKdyCNubeSDRttGBQb8ZQHALzF5Ew4QoY5HQ0ZFc40OQE+RjINkhZP1DxUj7SdaZ
ugLqAX+R7/f3xRQGewpZ9GLKrHvvxqyGLK3lWVQ4zesNJJOOOygwa9eZbxSy/HWPydOLQ8Jx62aw
0SQZhu8p4IjmUuYdf2eOuMPEh17nruscPRT5kOHC+hETbfpS6Wi4Nx6FXq0EsPqpaSGrTg5qYGpb
sNNkjIWvvI+WTtUnSqpmj9YIBXCXqc/a52QjCJObaOBmFxVmOE1Cd7emaDbVhNAJ816XauMG+lo4
TaC/tCoHou2i2rLzFt0curdlnJwPpM9CXERQTT1ITNUM15HoVnTdncW9KLgTMzNBL11G2OPMhXGn
DWOSB2IOkB4Mw3ym0p1xoP7mlTyFTuPYWE6VfSu016NgNnzL+2x+CU3lf4ZZhKL4nMNmCxMZPdop
tPejaZfPq18azJ0nySk3pUA74/Jd1un8DSdJIl0ty+dMieUjlPOnwem3TS6PTgSPXu2GOjF06PbQ
EnPkYXeyu9Iy5wQC1J7Ldu5gKeXlHM91i1wlTS63qh59BGsNc01X9s9BJKtDxd1Hv+zFvnN6Gwti
NCSIYdyHhQohuXf1YXRG/tiRPrzMHGVp7bWcxN5I24dMEdjHAL+/OZFxjn41ojGY6+uCuU46jHre
acdR8wboQD+mcyY7sK+tOtgua+4gtKsDJUv4mi9ulC48Kh7nrCzOUREUV8rpixc3i1q4iyJ7VuXS
vizT7JxwePPEjxqIKPmQfUKXYR6bYqg2KF/kvSPn7kboCq4L7kcw9QSBRjJRgbvRBRcjNCKq0nyw
JkpytFV7T3sfPIRjtfKP0Wx85P0Bc0jShu4H8iFyGASAmEM2jkfD6H9i8RpT1zUyfxaL/7uCrfD9
88+h+Jcf+z4UgwXDs+rQJ2FlGKL0b6EYC4cicGcEOwp+suKB3ycBLi0YWzxDB2v5f4fVsA6aBj5o
Eex85rAHe38rFP8rHxYhsoerxQCZAnsrf+J22Jz3fGJiwvqBsTuyigdXQzOfWFP1CZ2GpxC6Tl+M
5b75ZscWrYI1e4KR3vZQFTG7rW75GnTG0t6OeXBsVY0+oIKCiGIM0FXpOjtZ6QABHjR7qcUBk32S
5B2cOpi95Ci/dN9s66irIHTk3QuUB0QZ2O3iCONVuHQ86Bx6dpYjRS0pssQyK49TVaZoAJz96Ayw
5DYLeC+S7awLO75wS36oplw/dZyxkwdv1RXzG4AV8r6bfNFtWG3JtnOZTPXgkDTSHJIJ0OoUmpQX
eyHsfIPLT2U0jJs+dxM6euOWzt2FUaFj7bd8qyv0weDkUf+KxuwHoy6uUjwZm/5lMPkZ+hmivE09
5V2RID+ZBTrhWHRTLDFnisGuQzNT06bBFYaTEJse8Gb518y04SvWL+hs268KFoATsABCoWQbpjtR
+vfsG/veoTodb6Xb9HsKIL7pRbjvYW1u7sOR8AH9/Wpg96Ms2Pku3McxhcG9XJ3u65Y1+Hnhfl/q
5sYW6hIG3bGBPb6HTZ7BLt/CNu/UYdrCRq9gpycFHGiyezeNdydht/92z/y/nt/8+xVy5E8LuaRt
xm9PBcCys58jCMWw5YdijvqQ5jFrQUWHO/WHCIIAgQHML67cdWPKr/MZPIqH4HEfnHrYCw88D3Xe
r7grnp8JbwWehRvSb0Zf/nciCEY6P89nkMQxtcdrhtjZEq7M7ffFHK+jhTfwCl6j4gKYhA0MLTlW
sxscmwUcV1KgbLJFDt/r7JxZA66uoNCVTBGmAss/YncsHuZ8PJVsvtdkPtsMvtdOoLXDzBLDZ7mA
6RmfTG0vUY1OSYaxX2Vt3DN13c3zMeymMJnr/iAXsNi1UtAYYNrLIj7vBt//6jPIVubbQZalTTDg
9DZD6aAsYsF2KgqWBBVYJ67Eiw2hX6gqsBs+2jolQ/cQhNMUB5PjJaBHE79bSGLNGAc5tNyhyZ5R
eKSjF8Kkq1RKpXkLJ3R1WV+n1I2+wIgnE3hHPoXgB2JQrxDQ4d3vZRSDkvkU5gEE825JMuNvBRsw
eVD13gs1TXXL9mpG8LWBhjKu5zfbZhjlzNekRRtJQQ5LwiWWgpS7spwPDPjj1p3NAAbWgX6Qd+85
CWg6u82nrqVFjEUOfppN40eYectFlfazhGR1mqgEpke9OhZ5CA2EuXeeioY0AOSVyBUHaNXMd8aU
J5f2+oVxPWDjQzuMW8CGUFwiuQlQ4Gwr6xNIkDOAHiEImvaljSfIEleWsDktweduGXy5aVbB9DTC
Yx5DIhQbRwJEs0Rmm4Yo9JykrXaMm/Heg1j9BE+2SFsCeKNUFbmCYzXaLqYsX9oB7kkZReEnDXXn
Tg1ufyNCTx6YO8xnLKLxMX2p2iPgCrQTkGiKc2ZQf4Mtms/TsGDtw1KT7G1m0mEYhjv9ofHIbdly
dyOE6R6JxRe/y0BUvzoFz78GrJo29RqszYh9KyXit61hAldrSNdrcFcDqB1E+9Eu+NbNBlPGM5r5
FwBWPHH66TKsiSJbU0ZENNqbNY1gTwuqNmSWYE0xfU3An65JB9kHUFoel2tCatbUFK5JaglKFwNL
JK5oTWHtt2zmyfvol/SGRNeuKa9ckx8H2nYIseU+FmtqdBiSpEK2nNe0CfIpnddE+p9gjkqQwjrw
Z5XguVX/9d9N/lF9qH+N5euP/loN4hHzYYB4HawY7Y+zdozh0V1jGULkgw8H//17LA/+wTzfW2tI
eHPQuiPM/xrL8VQuzmDjpNCgsUnh77k5kWR+mLQjhCPzAGrCI3Y9DOrWv/+OFi/A1TDTwMoy1ZuF
RuCwdsFfGRKwKvsP3sWnHsXSVcgAwAd+fJc+w+oTutDiMraFrNKWEVjlsJsJPbjvlZvCB6DegrQ6
RzkDbteJIqmW7AQWprgjnbitJNt5VMizIWRKievQxGVTFVeuJAnJUWB69WHSWFKj+b6b3DMW0twC
Rrvql/Y0D/61HPIjKUob1zrP44L0uA1tJeJsghgnPf6O9tnEwB3xlyNaT3jLvkqKxTuqCcMyHrKJ
I73g5+fIweAH4/rwaACI7zIzR+noKBsX3IPtflqgC4CAA0/qBU9gqCLIEtR/BZmsYgfE/k6SUoQb
MfVdhS09ffncti7mVwxj7X3OMZ06uD4kR5Sc7BJaZeddhAEbFGLE2BhdsM+eFq8P06r3wG06WKC0
c1sDQjzp3AjEWDLRerTYmDFj5xjrPecKr9+l8NDHpTNPp9ZpdqwNZBpOmCJx4WEaGzG596ugPE5z
H7IbvJ/yX6nNI3XybKvbNLf+XQs3xXwjXCzA6XPLT3wIo6POp/yFhG7wrCPswWCVXe6xPGEKDqwt
6ZDAzmOWPRM6w+4vo/hj22KNUNgE3QbT+SD1ulkk1YSxfZ/n9qCRAi58mqLNiO/8DPlDfVYiP80W
cqSdmRfzHqy2V8MND+4zzitt7hY9HQsCkzxvXX6XW+qi6sbMm1kutm2HADuXAbKrm0a9fGY11Wdc
Op2GvVw2WKfkpcqDF3+uZnkE5y82EeL5bhwrF704FqQpoT2N5kftQl/vTdBEWJLmqdscS4Q2zKmv
ZFNdYfqFlmaQt0FLkZknLLcIqz0Wz5Vp7pMbxc39COrtMdcz+9quMlZRpqGZw6+tnFJaw7KZ9e4D
caZtDoXK8dpyw516W2ITQDGjsVdh967U+NHI4cMW9qkvoFT4+sjneosAAsZv2QUzEibTqc/HvUu9
84JtGvmg3wh0q752thW2CPgDxsST/dJgep63X4DEu6kJK383A/aEX1W/0FC+VUsYbEDnq+MIAB0c
7XL2au/g594Viq/UTOULTB8w2/iQKli0waaWbe6x/USWlzlTm7zOYLkgfexj8B67gB+xAw8eHnC2
KY2iG3zGO4pdBukslzyVQ4YBmibySgQhRgaZdztWqCPQN55yb8ZhxjS86mcSlxkGuujlThw3EWkj
cBYDsho7s87HGrj22VlG7L+L7icvv2367hzhz9rj53rSt4LLY+V1Gy8Ds5Lnc+xZbGApkPuTCXaR
JB/IpXTK17Z0X7uyPmJBNZaIsWMxubeLcbHODT1jVV3RoEj6qrenJYqgPkkBEtR+6ctoP3Ga8qGT
2NWF7RKLObJ2sYd+wYIM0B/vtcVWLUdgvZPNqyals1/uet7tMuU6d4uFTPZdSrr5RV79wQrm/0F8
X00ysJau7n/8/8fIK6xbKxtWGCX0pbdue7CbCPsF0xpcxnmsfYNOGKPwVtSHuls+3K5Xt31fkge2
MOwLmee7aSjOZM7SkkfPZB53aDu/AmrNYXEYhk1eAAcJ17pkwZmuMljGM6oSU6CMD3rtpREb95hX
vYHhmRJZqCcvEv1Gu6OfuKRs46pJTA9T6MHtygibKJqdWww7L9A3ldfusLXi3Vb1/RQVRwDdp0VV
x37yzlHXnpny+G40AK2VlXtvFhRuepmEGeYcIih2OVqkVBF1F9jJTdBdHInguK/9nJyz0cVGkGF+
LCR0Ch5CTfWsdx3IpcF4A6X9LMsr3S0XoYpDaeiOmnUFWdUfsqZEl8LWBW+rhwKIFc27MzBMCB8N
WOnKnKqp3iOvDTF+ywV5TaFsHq7LorqDvJPHutFVGjaORGtB4mwYbqQPe2yNlioehuIxsBiT5bP8
jHVKJxhHZDzjgLJh2YJuX7GBndvVNA7cl6K2ae2HCZ4rtDeIQ75q31senUmPQV/OnffMDbFBEiVr
OKkZhWXtHpxujWXjWaKO9ki1JWCKsXWyfEFp6yaFsuUmEPm1v1A3bcBEQMQp2B7kwfTU+r45SdkP
VxXYuMOfH9WfLYBrLwk7JshDgCgsWHd6/lCILIOZBw03VzbJ1C+Og/dXhiuUTN+VOnhJKHFoqRmn
kOUYc39yMsHC1VDG8/xShXAThddyknvZ3Q0GCwAHbCoKYZIoNn/+qX7ZW/D73ONf33X93N8VWFNX
jl3gO84Vsc09Ovd11WaDTsd8ygPUHoI3RTIy+hxm/kFDo0k0vDe4K8yKP8g2aYblU+tEZzkG2BZR
i23FjfvGRBClNSkeQ1abNC/tKaqClzCDGcat/HDCaWrazbREzYZBHk/dTrMkaqw9THATvLVNMW6D
pQYvLuUXGMCHDXwvIkUEtum6mCbRE7+fgmrZIR4+orXwDnXu3wg7vgNV2iMpPahh2IYrSu3RYu9j
A96mIKhQKtM0O7tMJOmBkaSDoWCy5HzniQbYptRJ7+dhjKHmCYf+a6/gzFOdPAyBs7cmeJiX4jkg
5ZGOmGbClZpDO8MaqWKUGAZN9FAuxckzIDVt5qU+dpEgwZSIsuRZE4t/XNRXTMy7ZjAbnS04wWRT
jjk8N36XtkXNsCiyYOlQZVcd6K6cRnu3DSG35fO9CIFRzJ3zMI2AGH0fkuUSjTunA1PpTu3nMO+v
BlLf9l0NtHIeMek9QgNxYk39fYQFFmnnuo+NFfs5A3+kh+nShciRICYPwxB8sJ5MSQbbQE+DXd4F
58hUf7VA4K/O+FqIf3faTIASw1tw2opzc5NfnG1/6p8wxzrQfXhmSD3JF8/E9OheNa/m9OdnHbt1
/+gGi3zfhUsbE8f1l/vuzd1OsKZkgXOFAU7cnL2k22IdoHtynqMt2ZDHayc5P+sNVg3oz/hPdbFn
Eh/lNrtgtlP/xW/zY+L75b7zCcpLPFYNbRT9yVJsiakD111nZeSm8zFGIs/D31wg8y2ifP8eP8lg
y1BPjhCQUdv+Ix/23N7++Tf6h58hIni0K8YIsLj+dDXrOVwcAmfWpXVueii8A0XN+UuE+o8WG+CK
/8lQ/duG6vjz8PbHO6rxw7818HjClxehR8caajRQBHnjt3EOHvsE4h3bpmFDxtgGB+BXMZb+Y53F
o0EPOftn2/9rA+//IwjRUDDfh4qLcfjfguV/zpsUci+OOVYZeEhteMrvjzedL7CAE8JlcBH166Iu
8/zy3dfyByVk8NNSktWcDzeAvzbvDNoyPKc/vsOUqWDETrHpMi1043ndVyzkuVRZcUeH8StMPelQ
DDKtAyx2c53m4CE/wPuzmSLgNaETtlhj5++aaNg7ijwUk9gGqnt30Lqjdj9PdJgTNZbwPYnq2gW1
XZ59Pfb+NYwtLYwsEpUMvsSEir7GapnWLhB7CT3MQmVfDSVXvg/HS2pHGaVBIKt3tMWQDkE2bgLl
MeyPyp1PBdYyYptw8GUS6JbQh+VJUGIDgMtNC1aAXUdd5GwqNnziQ+5vXM9dlwQG5qbA3rXY91og
AwNwdFjHTnqQr6XnnZHLU85rezY5cPeqafdNMy7YJds/ZLTa+YtEJsr9eFma1/9h78x2Ize2Lv0q
/QI0OAZJoNEXHHJSZmoulXRDSDVwnmc+fX+Uj22VXC7BaPwXDRzfGQWJyiQZsWPvtb4lyaPhKPr0
PU+lyw7AHvq0Zdn0uuWFVXdrggCSZKC5tf2UyhIe2/7QVXLJNG6+nlIOIMuERn9pPKVLD7VpPgfK
MDogK+kYSF6fxs8dzlIHfoODw3uXQc6WMIgbMHE4Sz3injwgntrltXHUi9rwGnU4ZdriCSqApqp3
YoZTW+r2pyReut2SZldNAFKnXbBTxKgraxUMk5QcdEm/41icOuqipUjm9dtYK0o3aqfI7614P2d1
7BiJgbI5EVu5jluwmelTr9v+KDcu9wKlQNENGzrXhwm+ta0PD3qpoSY2zqIVj223XKaxfhPlAK+w
xW9NfThh09uX87gPpwTtG7t8bo87Dv5Hehe3Asowx/3sgb7zJ8buFFL9pmzEATctFufmCQ1+5TSd
vZW09rHkw+MhnrbSvHxNM3PFOLtNYHhaOh0rTi0OXs/K0Wfw7h0HDEc3AycU5hNvwSaJk8cwQE05
tV2ykfqex6b+PpfJzlqdFlr11DfyoyTJt625StuCxBsm25WN7GVJg+s0h8AbzeExBbeBGB8pmC6Z
wHNtt0aS66IBAXmZ5y+2gqVKqqLBtxbTOFlTWxziWCyeVKEtM8RtYuufexgPdAlAsGfV+vYk462s
JBdSj/gR8yCQ4Zr2laQYN5MlhW4/99nFEMopjSSt9e2sQsyq04IfW3EOmWb4sSE+yYIqBvmH9YLD
F50kc6jSwbpOSY77kjN6PksBra54iM9TE4tjTYXj2XwVDsYPzIQSM8YkKyMPsGKDMV+S/W7RYQt1
QXpTWgJCY97LF5Uw1iOz6nR1c9Ex4KhAVuyhYugOza/EUdS63WFfSvww7o9CCdEIphVHw8XYBliH
/WVSFYf6tMJQvMJF8zi7NDM5S1dXzjVU1xB1T/XFWOZPTaA9mykzU005JchLXVuRJG/OpGOQwuJU
MowiqTAmzOBlfot8R+JVxQny0KfFzTg0Iz0swcmQuk3NXMS6nmYqYGir4sKsTRZEhT/aHK+LXgvd
Cpk2a9QhrIMdNl3Ao0yzl+6YJRKE6ugkZ/JD2oCt7ldCGfjKYkqf9CQwnDZmYmUFAhcwB+kAZeUL
Mh3VXRbMhRylx/wuVfJxM8TaVjNLDo8LBWxkLam/xHFzWqz0rKnVLrXba6UWrZsxFZtyaJHLaHgs
eXsVDZYfQmDdZ/NwL6TqLldR7OZOn3ltQ9uLIVdus+b0h1EW5VOhr7acWKJIj2Rv7gHAcjlKejwA
l9D7G7wHqTnshiQatoWez1uW/ughqLmC2md3Ra7FHgcm+9DPTXIAjH4uOJvhn9SsfQ8IxdFL886o
QXQ4eoKdJVexYM16EGyw1d6JYL6zCmP5DPcBe0ZfthujRy9kjgiikAttUdIWWzqopZvxg04zGP3n
Js6szTrkQBof4+DP9ahD9Vlwi8dqo1k5rsS8fBRDtS/GeDOZs9+35aU8m4e0nu/lKPGHGDtyWUX3
fabeWX1t03ychn0pJY1XBhnTxB5ERSXLj4A9sItMev25FzinqjLHjxLxoJtxD9k90D6rk93dojWb
oJ1Ktpv08vzBAfMnJSLwFUoNsLwoOdZx8NuaW81zwbAzKUAhJPSTKPTFeD027QeNpFV98v7wzHWY
Yxhrff/3IgDiSJ6GUXHO6X+1Qr1nVbqy8vyJ5bIBm2FzA+ZsN0zVJrPSXatGmGhUx1KLC1aqI0g6
GuTpdRT0N6KWfS3CX22D3wuDb2WPimnmFdAXOt5y+PzrAuanf7nB7EXRdTgtr7PsN6cSI+9LFAwp
QBGa++F8JyecBssP4Hj2384+NsoccDvEvPId8aD/eB/QNlYzyunhDHOBRr/Q9xrsREcOavaNYTD8
QBo+QwMqrwsalrMt70drhC04VyxUGi6sJN9E0tJfg4u0bwt2pb5EGSwrGW8JvQBDxcNnlOE5luLD
FBh85yrvjchHXFO2sdwYSvac4tlRCALYLmPt0FNkzJDFKQdg7YvUqKhZwI2wKqGF1m3FLWtti5U4
JRsEavYcCfqU6rdYN58nlDj96oyczOw0g9l3TGhGO1kZk5OMsM5Zpj6ibqIlFtkJoQ9x+Cnolfyu
xmLs2QppAjn4azrWqPEYiw4lW5yypoyAxPIrWb2kNUfrd5lWbkZ2DOTnnrm8Ye5ZFx8tKQPSTxbH
jFwzWzkWRVXQxhKNo6HcWXRKD0RBqWeGPYxBKd81Hf2wXJkOwB+fUxQJX0g/2Mp4WTwzi05qCYxR
a+sNfTZ6dwD2cyEyxgyKQ39suqjN9gM0ITLZ9+8Lz8MqteVxoPHKaO3H5yHQAFrwb93ZVNRnjeQD
b6mG7CykGkZhGz3B3Ec+iS9UEdic4gyLn5ad+FYWRnA0kmFCnzpwE+OinozS+qzpRYQK0qg3PWOT
PSi6HtNmiunFGiwa4ToaAjZ1DyNf7aEqoB5hIZLzsmCiX9+GeTy5StSW7AY96G5g6kWFYy1f4MyJ
ZyTChjsoJbKAXL0X6kztPIee1imeQP2FWEBiCDaKz4klSLxRvwoTil81sgzYGR6q6S6wkT8OjVuX
2i1GKJ4QfGizemsMwylNots6Nm5y096KuftsYQTAdFvKvqh7asF68Nt+HFbDPlYSxhpygBdLEdKz
xDOBjFd7VDTpsxINtVfDWsOSL2+GRUKMNZXYVJutLCd7BCm+ykCA3cjTU5o3ljVemEDGRwUhpUIi
DN7bO22szrY17dtyftZG+UutNc+FKXxj5u9kHJEO6WUZTUezEJux1HGEoUeLC8JR7PiaOJV0DyHI
B3Thiyzw8uoVDB9yLuFlHCT7monF99iUAsjssqv3yabrsFeKFj4DkhRFEeBkmAFqIEEtJcx9PVxI
qqFCTfvoKCk4VJWRiWDnhFJ8ZUQ69tByo6bSRc4uHo2wvJXscajaTY1VFkADxkuFXTMLxk3H9l40
eeX1KFC9LJW2yWhdLEnqmDb0g1EJR7eVWXQXVdkkioUVw7rC5bELC6YsY30sLIOqt8sgvlQrmzQz
D3o4XlS4bjG8YU7VqlhxRznZRXBbpJZTQoYlW4NN05sFgpYrYfgmo7zROufTRmAD1Xdo0h4qGVly
Lp+EwcRgCvQjIxeaQEGAFkUdTLc1FMU1E3r/47B4FXXDDu53C0DA3DUDVYhZksZhBgM9vUb5YGv7
4E19xZ6+2R/UyJ4Tu0qBtrDvD+0J8yCcvJxIoMu0OSmcWH69H62N7B8awj+uDO/Vl2oUFZwuWBnK
8psCtWu6GexjEX4e9d2vL7RqBP52JaQHOr04C1mpse6Mbz7Z2HZDnSA7OS/KHEJ5mNrV53VntCHo
kxJcbDoNF1UVA6RXZOVk1UwRRVJKHCawkYz8Xpe51HesA9dToVlMpPtPaHcuS9m8zSjfOPW4Xauu
TpPJK7pwk3fxU5HoD1KUVTdhj3fGiEAB5UZ/YSR0ajXFnxXiAyjxtkWnmQ/wAG+rhbATzTj0WrdH
p3WxMAY2YFyBlblo2LbBb1ykKpk3vUT/0nKnSnnIq8aPs2A/VozvsslyOiN/XuTZcGGMPdaT3Tyo
YdD5aquFH3yrP/Zb6Cty+95+qeLHLzUVOgPYwJrO1vQULS+z9RFx7YOb9m7jkKWMGpmG/jm2bqvE
dmrt/oPH4tcXeE+HhPmayqkazmdDvYp1Aig6X47mDxrR67fw/iFfpyyCklTBkfLu0ZvMFhaUzqew
VVftvnRjTk1yH0/mB3djjVd/c6G1OWUgXSEjcp3rmFSm/PubZ3xO4mIMl0o9U8Z8YVPz7rJN4Ek+
LDb3wSmch71wh+PLTexGnyb/OfPnF97odqftf/2tqmuf7f0nfrvhvysA7SG2K5scsHO3GTxEKf50
22/z62hj+zbm8o2y5XvekGrmyE7k2141+Pq5+PLrv8L42V/x9ul8N0XLgjaz1Ibv/fO0V33mqRv7
ynQuW92JvO2D4R6Fl2/tc7SZdkyjdnd4hLfTjnXPWbaQQVuP1plne9Kx30Hxu4yYYzuh9wlZ3xkR
5NbY2/vyAunzfb65/fWfrn30Yr37AiW1jTNm6TyXTulUm/ZbtanuFK92UVJ4kRf7yCsO5fbqy9Hv
91htJzc5JI59SM6hy+YDxc35Griffv1XqT9CJv/2uot3Y4QYlmhjCv6qaG87kbvskPzckdmQuuAl
hQNhyp0d5Ivneqc+0Ujzf3399fF9/1S9fY/erTYsNdLcVvN0lpfSN8fxYpFSLPbk1/z6Ouuq8qvr
vFt1rNjShmHJkNtiCh3GL/K0G8XLrDEW7GhFbX59tZ/f6j9Xh/cdZQmAhmbUSX+OzJST300VfjA4
+egC7wYnCG4zIbAxnlPjQk3oA9qm9+uP8MGNebW7vVl3SPmxCsJ35nNZnds83VTq56W3PrgrH32M
d4tbq2RtMphJd57Wu7Jkrj0l7v/b53j3gPXl0vZFi856JAUwFmdwii4xcb++yAdPl/luVRJBKM00
59gNJuHqduGnWYfLr3fNuXWTUT0PgHl+fcmf3p81U5R0b022V8LR233BQooZVHHXn3Uc/skmJRKH
kLxfX+Ont+fNNd69NFmIpbYG63U2yE6S5Os8/6Cr8NEF3i2JS5pPWlLWw1lm0aYZnTLH/PVHeN0f
f/XirxvKm+cY4KGlBhnPMWcDp3axFe/SE0cE99C4kR9e9h8OZle76S/XmvVTv7mkQv9P6dSIPeoz
jeGCVZUEOqd2xmewrPvBuVrcin9wDB8oiGNdS84NcVHs6leP9ZV24NQeOYk/d86ucKPtR3Pjn27k
b5fc909O3IyyEvDSKZfrRi457TbT94XiOulW9x4K5yA788V3+YXDWXM/X4zO+MHqhZ/r19/Qu/s+
SK2IanumlvAGb/HmBX+SY19k3o19Fkdt23uP6iZwCjq2m2ZbbS1X+mCF/uhPMN/tewhFJb0Yq+4s
XZQOMJXFSb4aGxSUF/23aVf5+dHcSlvpe/ioudM2vQy95NuvH83Xg9cvHk3z3XOSDhrxcAWPZrOZ
NrVDXuNa1e1T927YT/s9iBhnOeOIf0B85uWbamteATTweh85sBM9faSteD2Y/e3v+et1f68osCSg
NRyV+3Pt61uxFZk3bZbNcsQC4HwJ98Emda19taOpd5xc896HgsEt6rbp5jb21iLhP8XBf0f3Brf6
n0f3nwgJ6H8WLL3+2J9De+s3sXqhNFMGJvmK/v9jaK/Yvxk05zhTQpCX9bcOKh0PpkLzlkk/I/o1
FeBP1b1GHKKuCqjiMi27fxkY8OPu9PtInZ4GeYwmgDtsnz8ugZMshUPTFP15mVN3davQDnRiK/9o
dZfXxeqvZ/b1QgbaAKxkNL5VzD8/XkiBx1mLRK/Ocm/Y94y8JeHmJiLtHQo55Nnaq1S7bYPllixS
urGrkhtTQPhYlQlRO6vOWzFX1/Xv4m9k4NqrIFy8isPB5SAUH15F42NQDwN9JZpmgz7EiOmljFyR
rFX8uKpKFa5r1tPkk0ImqHEbFJ+xZtm+YS2N7LXFFyPTx7OpV9ml3ssVjewqzeggBZPmZuSuSdkq
BzDjsdQu5VeZwJAll82qHMgxiQJVvgL7881AW1DUIahu+c5kLk8gw9ZYRQiqzKdAy+XberCxc9+Y
8n0wzzWT3zxm/oW6d66/R1Z0syBvUJA59Npwm609upFc6keTzEpvPeCdQGw1xBkb4pDF9qkCEOQv
i8qOJUnadx10+Q7kpQz1v2aZHILaieEd+eq4BgXZ57YgBXpREWmH8aJuu8K8nxXpM/2UGoFaRGO/
60LVxCpEhyVkqu+rlhz7ZGPwK4iaVVLR3Dd6B9RGWEV004aDhNZCaXx7kqfPesZZBXojHcQ27fF0
Sc2M+W65qUVnHSJJUc5v3r2r35+ltxLjn2Q38Otwy6w2FhOZCO/M2+28nhuU+5PVnFs/fx7hUt0u
t4icKSa6XbEjshAJus8g32989vSDvtF8wpDdD0Ng/lZW0AcgyAP2EF5KHTXpj38Hw42xD1vSCAI1
PODtmNyUKSxNap0xlJnafj0E5CWrAuluYMmn0GyCg8I9Emmdu7NJdRrIBLCry1MH8nTTquBzu64i
xXN5MvHSYvGTcIws00OdVQjPm3p2zZaU74mOuKNEiDiMaPJnDeucUrhJsLi1TkDaYti7RVOcWVW3
jKgUp+4aHgpbB61UAKbS8SHr9P/lyh/xj6kBOIW0IPh3lf7meUI64VCfx8nWtnVIN5ee1n04ljtF
y0/9ZMmOZFUgknnQTLtmjCInHxzNf1xE/nMGlk3BeikwKr1PCbIXoBAVhKqzPJCdxUKQ8eHlwkX4
7gNCQ3NSfzS0+3kV9uaa7+6mNMHbGNKwPcNRezSCxp36sPSW1oQC3J/KGtV5KBA/mDW96awl2JzY
E/wOzKUsyTiWsfVZjpkKD630PUj1DRlczIHEtRwsX4ywfoIwyTABg8DvssP/7slrOfTPe/JNPHyD
2fiVGo/dOe7mv7iz6w/+uSuT1cO2q+rrvsv46y8l3eqSM9lyUcBjvgMm+5eSTifX2EYTIJhu6yvA
5u2mzNLDToXBiAkviIR/Y2t+fY7fbpYo/NDlse/ZQqgA7t+fhdTV0sy6e2rKuq7Mo4RtNYJVSCR2
jspFT1IQVKqWepEIFEz9Y79slHlWTPT0sXFpccS97EvS4shxkPYGePJTn0qzN6ptcZEHdn47a9A/
ULlUxyLuyi/w3seDmo/pra6AhNHLBNh8N5nfmH/pu5LFY4MZYhVQ1135FMmybDvSAJKsGdEo2dk2
VRU2k6wwXoZBKN8lLV6w8griyewIIiExq7C+LBsUlSB1VU2IO1/H3zF9l6s874M7FbTITV9JWXQr
J7idOeuYSr3slypiPWmYb7LPKCbQdS7IdJXc4QEZJLaiebQYoeEsHK6bRrFGhgg43rxgEYN8FqJK
/NwAuH8vJQtTpXpITRNkmagZXDdw+x1jmOuntO+1vT7koCpV5HR4dZymAjXOfNJTCgPk6NDYxsVQ
MaXDsyMQ+kQz+cq2TFaKVA8YNea40DQgEPg0GGGbxPwu+s2itNBX1QEPQ2kmX5CHRYcKhf1yMpK6
2zPpiIcbhODKZm4MAHHoaHSTKAIb0rn0e5fgvyuC8ssVAbvQtyZ+zv6+IKw/93ZBQDwLYAo366qw
fbMiCHAGxJ9aGEZ/zPXSENCinZUhELySqdYK/g9trfob9B2DhNJ1IMAx/l9pazkSvKufTVYrhJzY
gVV0NLb97gyKVQkyCnih06QBR6b4ki3zVJlaFXyXEXYa2DzJlyZwWwNku+wQO6Zj4QRTMvrAXNKb
QAUvZxUBLXNye2ZHE+qXEHe4W9rBc6Okt2mQ5ldzypZfL0LdaIYS4uST21MpxPeoshJs9Bj1laKN
N1BDNd9s48bvBGkrgBmN4wLibS8VWccBGbwqxiVmzW4CYehcYQhzGEscQf6mF7aIC6+txnnTGPaa
K4p2IMvlys1tBYgxwO2zPsyH1IiPVtkFFyjq0k0q2cDobLzL1EUic3Ii3DeTbUZIAyZAcNqUukpq
Vl49ZfGmthigy7r0mAnlshJTcTCj/k4RqMeCHLQgCMPKDe1ZOjeJ+DIWyDzq0lS2oAq+L0nyBKew
zYkcV3I0BmZwrPRkvgfcFXh1E9Ej0sp9HyXfunBRH1XSq68XYNqbQWS1Z7YZVqV5xSRAhrEvBilQ
fDHK0kGvJvloIDrdxpFqOGHTi2NjmtcWItnbXMn2YzTfkRtWoH8t9K1sldemgLNqB03hrtuYF5Wk
VyypuRIwUQNPcyodlQjdnDk3kcEwnuCCQNbSiy6YlW4b5q+7xtI0ormMuHcDqSTxaUaYAZE6VIKQ
kQa/ifwTW+ouK8tmx8BPIRn7qpvVOwntXLxXh3Q5NENhX8bDjFqjXCxYjkRVa8GlDdYRrGJqfx8U
Oz1CtfI4puC7HRpl8l638f+uXjrnh3+uZ2675yJus+e+/fv6tf7kH+uXKv9GYQJHaV0fBJ6Xv9av
FcjHP1HrGLy1r8C7P7wBFhUNIjEbAx/a0dd/+mP9Msk51EnbQksGf1wV/yqqGV7Mu/UL8ZEl8ydg
d1trrjUD4O3hTLIkLW2mrLzsZ1KWTolaYcIHP5Woftfl2ZUZ10Pn5plxNqr6qo8s+Kzw6Bs1vxuU
jNByJT/WavOYzeUha4ubmLNyhzcZmU5wAjhzgu+auoU5bkMNwjF4jyMgtoclKb7ZMZbDclBh0aai
hHVOsZTriRMhxurROHmqjmo465JTx2QfezvKUm0olBdiep0J03G2QVlvKeCoIRQf1FR04TZVJISi
8sBqxrFfS5jASTLuoVXQacZmvq1N+yAyZKp3WtCRPhHkY9Kj04emd2ySuH1MxqDwenqL6mboBzBH
XZ9cmNj8QQ7YRjvCZCL9y26tJtmlhTksft2Eck01syKisnF66QV5VGNWPJiV0bsdmEBrsGnDxuK5
CsrAM8d6uk6sbNxofXmKA7l21bbT4dvEfr1wcIlsAn2D4V6Vg09Ss+w7U7oZzNwthnGP8twbpO44
jQZxpoLzaCXIaFFv5jZ+rqQSc6kpOWXXn5DcwP2TKsz1iI4bW7kZemkvFNUvgvoMDOa7qjVOLo07
Je4OhMbswqA+sjqec3U6Q3N5kef2xo7AzSbiPrUHaPMm5/XwUkQIpjjj3mbVgqk19rJK3o5Ge9N0
lqdNIwx5/SE34Qra1rNttUh7x961ciA7if29UEpfz8RZG3t/LK2tDutGKdtTELdXdto9wkb1zN7y
Kknx0TmelzK/JHTPQcRIUKG+ayf1YRnLEzxfR8+LM/fSrZJxQxrlOQnKM8j+i0UzNn3XHRIDxKqQ
n7Agbqy4O1Va9xKWyMbXWx+a9p3ekAqZK1tLTEdkYJ3T2/K5Vylf6+TcCPW6nke3W6R7I9L2GdAX
NOulh/d73yKQYizKPlB/s/XWHYrswUyi+1KObrpI2gSVcdR0a0MIwVlOhgwTtHIc9emFYrWDZax4
aaEcg2E5ABt2SdA7hqaygfJ3MU7RHmQamTZz860xVfQ/000zYysOwsG4No0G8PsYnUWgn2YoPZdN
hrwtJ0kP84RaagpRBHxfxlRfysI4jgqPVE+cUsZZ163FWHlVa3+dQ4bGEyT9XDuCIb+e6k54UwX+
LMtMD/3ZUwdEQGo0gZE72E71MG8kLXhamuw02lNEkEx/l5IxpUmaSRJN16KuW0C8pQXVTq6brhRh
3QEzTSxDpJwCXb/RmxjosZ5jrZ6443ALr5JK2rYA/SsIsrsqSiVXas1kU0/KqUv6bRqELhGLDmiI
3ufp4G6pSOrsvr2qiYRyCx0ChYZRJJrbiyyPL1E1HrVa2ira6OeiPlcq+/5Y518qPedmLJKnjjTY
kmDmy+rEtZFZ+5JIHq8pE80pKLfWDk7nSknvlrJqu2oEKCmJqyMFTw+5Q3JztfzcmTpqVTUfXClf
zr2inQBSfxVajXPYon1VoSifSOUgP3y4gfn+qbPFQTKQ50l9BhepqFw5Hk9ME2Zn0FkBcgkBok3w
p6fWAfDuGPVl0s/HslbgjmjxJd7u+0GAtYqi6S4UBs87DqlCgl5gpZcB4XQuDihMNzjEbRpHrh1H
Nm4faTwuSEcvIgNwwn/3/t/JPpTx/7z3X8RF+JNtX+GH/tj2GSHoCOpsHKSCiIj1WPDHdGGtCBRD
Fusuzs7OgeKPXV9QD/AfTUrgkGu74q9Ti/EbzndmCyrHIDJBzX8FeHzVmr/tYyBDItLY4hSsCwFx
6F0fQwm0bk4r0zhHi6Q19yprPM9LMeeKF0VSbzpW0qrxqbVSDU6YmOqtPGbXsqS5wIiI1WviqYvd
zpQDlOKWaOt9XjaMIc1BW3XhtDx9JgaHUcvGyCmzckmvS3JyKvJyhBI9TSNuMVwE51kUtaev4TqL
ObEe19ELKlLhqGsED4e7iHxWyZ1I58EEn/LepfRKSO6JlOBz9ZrlU8IhnL3sNeOHbFf8R2vwz2A0
xH54Eb9VuGU/d8VJl2axm6NkF+Np2jDRHn25K9j+i6F6QTr/FA6JAEGWB8wVik07xaNb5skOiMoO
okFHclvxIvNubTN8G2jM8/s4lL6op6qYT6WeehOCAtfOltQNsuBOqa3rHP2yPQ/bZLlWOnE/Du0D
7ilfJ1DC/p/Ju/r/j5e4yvn++UW8yp6/fGv+XoCvP/XHm8jrJlPgGkII4z99wz/fxLUA1+FucdJm
JrDiEP94FW3eUd5QmwXewPAKQuvPBoIFKRFKFdMyVaFdRG/h//xv8sLCb+V/hiG/h7f/9f9vhyPa
Ox8AA7hVnIiGAmQXXnR9bYa+LcCHeRz0jt4Srs8hdYkDeiiH+cYk3c7P7PAyV+rkC2kAhRPP2p1G
+q07aFJwa5njdxJvNpwedGfRMAIQAuvLRWY5uRlmPhLUlyZMFbLo8dnBjbihHRhuZbsM0FBTmufg
ZaLKfOm1+FYMy0OUd8RjZl3vqJXuTvBedpzbyVHixJ2bbGSaXWxA5N1yLW/saG8yTkG03s8obK0+
cWnsnbrUvodBHrGPhl+T1jrpTXAt69NlFLY7TvIUJsN8rdKo3OgIypwEisukmqVvgTpzTHViVodF
Lwgh8cGr0uo+2cv6uoHDp1ci5i12V7bEu3SW38+V5mtpsBXpqzkit9l19Tt8iVQ/ttdrmo+xSHbq
xogp8eb9opCj0RWRhV94+WTYX3Nq8UadTm2bH8yh+wyaCCZ4wqlE13AV93NA0TYwMDCm+Rs0/f2g
mBtTk0zHlqNPoYJdyLYkN7Oy2tGbHLvFsktU83KMTSZsoRuWzadSMl76HvpGmW6lFEOtZrp1q+xh
1VyrdHud0BA3Ft9QEMMtksqG2Nfs3Oj2jYjll3RawE7R46ItizfUNsf7XNUfE8s+q5VJYToUTC56
BYzzZF4oiXUnZVrhikX+FA9J5hC6SSkc3FcT3Z4egHZDEdlm2TddYhkepLtK649TNN1QnWxkIX3u
peRLZieGY+B3cJsqNJ0lKy100vV3c55v5Z5QkFq3T9ym44izp8Y/EejfSTrxyb0snLXlXa0Ub7yj
tyXrrUgsqrfQJGMB01BTlE9aIR41oENsONOz3hPqwENO5FdYpA7x85Th2VfK4ge70ahOYfyQxXbo
xUzzrPtKOBDJLJG2itS3YRyjRQ/qKzTjHYXnMHmQjYk6kebEkyLkdrNmrd3g9FPS8SUtBSdHI2KU
rufqTScqn7EV+UV5Y/ttV1SHIBzDs9qXn6b2EZSPxjv3iGYdF1Yt7yJSQ8Gm6/dlPUfX89jY+wBi
jlOa7bTVhyB25H7UAXkqiI/6iHm9VH03krGzKcFJBr0OoiCZfQKJ6+V+YC6W0uMmB8YG9Zvqt0Wg
EYYhhdqnWE84ISn9rcyRxwlm3ZkKqJ32OHiZlSRk3tpbgnFbT0LW4HVjkx3iSjfXWbLiky71WA5G
wsiZ1y2LeKSLsRPodMkxI0mPoRyhXJY93VrVRMZdFF1O0fJVxT8R16Hlsdlt5LHHMw5CbYFj5xeA
5bw1DzozzfOk65iDYneRrYfYKACUEnHTWdFGdKjzIbc18I2zqbzK4n5D7d+5i9SSctoyWx+6gx4V
4HXS6T7VxS3frgLdCn5a0lxNdX9vp5ABMDK5YTC+tEL/VJba51w2GScG9MQyjX5gjS1ejPEnJqkI
aZacGE+N1NdgIPWDSDk3jbKjPBL+pykqkKaVRdcZj5VEPptaS36jpYSi1vdVYn6q6viUNfoLB05Y
Orl5KTp6A30pM6+MNEeraebNXSi5cqC8yFNyg1nxyM0jsCNZcNen5n0+YLNfMg50eGUiv8YdDZJD
97B+IYhKmdh3vEwzr565rJw4dc84HpFS1N3ADNv3qnIAM3kBgvWYGqDdmXN19BAEY+Qht2ka5/RC
TJq8Ot5wP0i7b1K0QFm1a4xDvR07FSHXRWCjZ896AgALclTD4Fma82OULvfSrDF4nmYCtOrkdoaM
6zbjuKtaEv3I4lgdcvWXscTIJzV0esu8uI8tcRFV1ZcYtI0bIoq4mwrIDIV6b65xekHF3cjMYDP3
qexZgcWyMe4RgATg7PpdlbA7VN0XW8W72OYZz1qb97ANMigLzaGRFWBSchYWPrKbdtMGXWs/qXnb
/Q8lgP7/VxGtg89/roi8b9n/OsPZ/cmYdf3BP4si7TdDYZDKKOQ/Q5C/jif6b6pNacOwlGnGW2KJ
rlJJAQqUOYesldGb84mu0OWkZYm9Vbxmf/6r88n7mYpuccpREFhxQmHiI78ribCpJW22FESJldNO
TmOgn6mrDR85o9V31FE+iQqiGk425micuX/zLEvQDgwrSscrg7PxvgtlS/eNpT/kdDFJGgrJcRpN
CaZGeYnY8linFS8BFtmqJflsJGjeTxnRAPwwCJ0iOsLVmPM6klERVz02/5e981iO3Eqj9KvMC0AB
c+G2QPpkkklvNgi6gvfmAnj6+UB1qauq1erQzFYLdSjUxcpkJoD7m3O+8yTbiu2JE0FeZx/kR212
W/GCvl5lZ+65AioAHQgETqx+BCv7hp0LL5+dY52PvpvAwyjIMOZZYu0MIy02gTVsqHS7VT8DmG6h
kFY2XioWTq7oXVKEjCdyP0p/GM1bWLM3Sj5eKop5CaGDm07GiWc57p7IZR6XOZIbV7sPQiB+Ko+k
lR5BKeyH7prk5o0U/aPrNJ96aL+E+fTczEyjUgaKaKBwHTbB0SKVeENpu7PYg2xbXMK+0TT3pRXu
YofaJ4uiI23xWyGjdDOwRoJVTOJKtoR3KCg1vEyUsKm7+UWDNAgyOrkSDjRofLmIsAhIXKggtnbf
tOGphFKAA42quO63IMx3REErXgfkmTdq0Dd2hfDZ3dwqE7KwvAN7YLsv5O6tVZbT/ZIn2vYi9bgg
VhiSMIy2yTa1+28OM1OPEdmJfEFzrxZ5sapLy9eQ+ugMLMcJW4xkyrJJtexMhHayAXC3nXNxCsMg
9DpNbN2BzzZaAk4UyxxWFYAWRAKQnqBZFLSmxtw+xJY2+yFxyp7RZbet7PdAbMiAMtR3NO94zuX0
kMWxuR2N+UofC8tro2Qg+bn50DL9Q5eZ7hPjtSszd2/TrviplFs2bdd56qxGu7QubAMsoZUV73NS
PUU2C77cKu+sr7C62k53sieTinpRN4KNUwiCnbnEYJkJGZEqHdWvRVKGzWZ2lG7yTQsuCLGXKTXw
pDdU7kLW7O1suWGNz4CP8MoDuF7AbgR7cTbCZjM+pOruY1PDdls2kC3Tangg5JEaJ5SaijOd2mPV
j1q8ShMooZXYaUN62anhenLq18CKb7RU+SRrKPVqABUlV+PdpA9A4NuOcHW5KmUKmzA383Uhhwun
ycqVAsDCjNOCaKkhXsId5LOV2O16DKtTGKuB31bjzkGmEIn2ooKmOnTtTspuAUawQXBppRKVwPny
lFrcskaRgpQ0j5mi7OcM8XYURhEl0JRj0Ge2JxElJJIh4dhrN1Fnbcey+yQyWCI9UrzCqp5ks87v
7H0kGjLuwdVZOOUT9WU2EXGiqWy9KXvJxO0g290ERKNiYZcREJsUYHDhLOKVF4QE4V+WhtgNOmI0
LSq9GGM4RA+AfCobXC8cBOQNCLZjKVeB0jSekNW214qrqZTPTDGJqp/EQ9epzqlSElHfLUz20KEV
25U6C831DwfMn+n7fnFA8RRdECYWxeiyqNeWFdePHWzbtoYIJms6S+RuntgGh/G2PO0TfEGvxWO1
TveGH3jBsQJvsUq2/8tYxzH2g4J1eYjz8q7NuQMP26TJ//nloQCD2LP6+TzYrFf2Ln4kd3xRgP78
9e/5Z6+jq9oi7lUtoX4paX9wJbgdZ1ZMov1ZI0NqhE6XfbrhfjHL//Xr/Hz6/f778HlyBjJ3gCr2
y0aurgVbIw0onWUeG+uqMkqu38e/fo0FdfYfH9qPv8wvL9LTgbd6unxom/aBXLr1sFM/nBXNUnli
hhx6N82a3dBG391fOqvMuxxO8eahXQfr6+QgvR2JAhfdij+4Kjf8s3746/en/6Io/PpSl+gZ5BWG
BlPsl/eX9XQvxaRqZxbyl4wQ1upJewwPuvSJQUYrf3jWtqN/WW/kDjBBfsR6fg0icCO9f6n6/9lv
61zg/72QvHytXv9ksMbP/FFDUg4uwBdEvfrvmUP/riER2SzyeGu5XQR3578Ha85vS/ocUUVI+Jag
Ef3HwRpjtYWFx538ezrJ3xmsLeXtD5f412ANtbFAE7iEGSHQ+eW5ULe5MGFdXlXLCEvTWbA2Lud0
ZU73WlJvg2WXTWO+Cqr+Te2Dl9iCNqKO4tiaQbZEsbJGqVeqOZ3MmePB7LgdWLNQLhFhGmebKXDO
tDJspLReJ9lB3aaje5IG4tK83DqhuyOZ+4pkHuE5FnPhJuTUQZgD/qLsyajVPhWrODLmrvx0EOHJ
tqCKKlUaUBKa60kn/rlW1C2wg71qEupV6c6DXRnnVs+uTEK8vb4pIAMYQ/aQWhPYq5SNlOlew1G6
JXKN/EnVWU1mAsAuK+EzdeJTlmFymue+An7I60zmsJ2VhsqzD33F0na5kqqbcNQaEjkoDTo3Vjuf
jPZDr4bpWq+QLvVMMlf4BPw4YwVVZ28h7K9lneBVQ7vt6ybG+QpceWT4TqYFfHWZ7pqi4FTugLzA
uWhEpu31qTwaKmnfmmIegmJC7LJ0oEFqX8gU0rYrrdtai63NRGKbrxQDv4XbCDSUFmCmHjHh7EKJ
bc1s79iYnlLDN8DrQQoMXtrQuUsUx9zHirETU/CJ7oF+V4wIaiwaUmYynl4SdE0EyK6MIA+hdVLv
JsdtyaMx93lBerQIqxtNy3ajcGw/IpucGGJAJyXGhL0lB7hgKtB9DPibuGA1OUfxtK6DTHhmmL43
WkFVUmuDD6JFv3FrdsWzma4j04m3MHuildJpIEoomlKPvPGcCiQo9hZosV3oAECQipPuK4eolmWQ
ODDD9izdTrZdaWb1jqK4ZAQsHeWAeOqDJGTiq4LUPaDKjAH8NHsk93etChBH7fSdUCokHJ21bqPe
XA8Owd5DURJ73Cyjz28lDT5oJXlUx+Gpaifbs+b4oddZZcY0Tv4QVASqOCrKsvmiL8aLPFeF3zjJ
9dw5AzbnEMi2eSpmh1tCeeio93wB0x8tCe86FFc2o7oeKaUZJ4WH6b/03LTdJrZ+kVkdw0G3e5mr
4GpQ03v2ykwCzWAf6rW5HSaSYROtjtdNAt0rjgqQ1+kpYiQzZmG0Vl33VGTurjMHwvRs5SMO4vtS
mbApKpj4E139MOLqYaBMVsJs8hpH117p1taKpjwzdkel0WG6YLXta8hfrq1UvHTVcGzBbthze5zM
CjSGODLYZZpRmlcjOb0nECrbTK2zdWVbR4OxGkxuNPZ6dAM+jw1xPL3o9l2qrMXkHKs43rgDNVkQ
sfougAfHg03xlmbXDhgYXy8bhlNMgwhb8AtlPkdmUPqW0a0MCT4mTtaKYu3mFgxlF4BZURuCYxpy
JrLIPTHs3NvwaGKmYD0hxQ2r7eNgj8hg8vmF7L9u0+WNbznEgDUwo5UkZGRcX/Ry3rtV/KabFXxx
TVvBiHa9Kk5uu8x8cxucJv0Iaqeo7YdQ6QpfywNuYrA3JAZ1ayiRuOrcORu3baFP+e+GkX9OXJU9
638/cf3X7BWN/OufbJaXH/zj2GWfBTkZBbowVP6H4cgf+6wlkZUqlFAwTt4v1dj3fZbzGxJa5GQW
ia2LHu2HY9f+jeUKUxCiVxcVLefo3zl2fzHvcuw6nOyuxSuxmIGF8svwpgidYcgGB2QeZ+OuCoMt
tyuUVcjwvT2QWtzr7cXYM9Y31NnYumN/hggz8/TO3xqm/atWaXfZFJlr1wAgGErLYE3EedNHCLsS
ReqrqHMg/hDTvFLkmJ9rAsMjEwnI0Bh4TdX56ATGRWOKnVOStmAq0baeqsfACUsfJOJpbiaC9cp0
2MF7OoR5wmhDmIfZAeMdCvtk6eI+NKve62Ln2pV2uipI7ejU5pX9HZJPM3wYchNeUhwBlhjtgeN7
PlmF/UjGZ0sAuvHkZuWjBTvHTZH82NmdYuanzgHS38jovmjQ4yhavkP1u4yFb4oi2Wih8qyD4Aqx
pnVqDVinqS5YpDxRZV0aEXrTyCRzdESGykXx2mUOfrKRgBrF7tagPyPGvFlGjDkz/Smop7XjFP16
YN0GaRWFkByJjAoNjju2aaPsL+XimQsJrdgSG7ZJiEwfU1iUHHT4dvT5bATWu95Vd2k/baSj5Z4R
FudRcCCTBBHrSHgCuz1bvX0f1QHwIDE9WTHjlFia1QrUHqDNIiZPOp7aVaHb266Zr5uxsDdalB1G
LfuMlpmS00ETixr0T5ke+FbpXiWDrQMPtndEmtzWlyLiVIR6CqjKmgiOw+u2iW2qAcGpEHczSi6j
G7ZN7zxFFtlYfV3oXlbGW41T3Evz8j21rXKVdBNro1qDPWivpmXq0E27eCIDEf/UW9MYn8gxKY/U
cBfW4pIB034cIGhNOJrWyZSJB8Nk3q1OBMzYS4ZFUR8Q/O0zUzuZEIsJViXoN0N5PY3onvWQgszp
K2hjhdl3azko13ElP9w5lQ0B4iDD1KbezjXkU7urwebWiKVFtXOtEsUE8SMecDgHXjHJCkoIxbIZ
X1NX3BGFtmLuhXaBuEwuXa4j97E0BgwKdTfc1kKr17EbjmvGW8RxBpHta3OvrbsMgp9hZjcuIkxL
D9huxNG+cC0EaK2GbJs1Hnpn7gubSDMnQcpuLNhUsv3UDTvFDLXS3B8nnS2WEr0boRTXJCrfOI1g
QWkZzZ6dQutFnaRDm/t1K8psWbNelSV3SpITdkLG5jmwzYsoZ9JRqRARrIQPsLBeuk47tOV1LAQy
xcY5O04e7Am8vxypQlkJyoOrlx+izdjlTMlrLvIKilibrpRRSVfVzPUhzRoUbw1cEEnL1ph8FB16
aHwMzUWSwHKT65itnV8HXAZDHrxO8wzedqpPwUzAS2EotyMjqUKLFGJ8ogclTD/TnltGL0qu7QVV
6CJyAerhoXUnRi7L7uoi+OYOpfTDkevOyOwtE03kHQQtUcVjVBnCurhQ9NE8aUV+x9qtvhyHCdAZ
WOa17c4BfMOBdjbgwA8biC2RHEgJSh0wzXQKmRvfRg1XsylCRmxZEkHs4xsfgxzQwzRfl0FlEaiK
cbDNB5AIk3JjYBVeqbwSUySsjcpgSZ9Uz2BDJZWsyroTu4jvaxDRIZ34u3qjvobLfUQ5c6sGKlzq
uITIOhwCx9TXxjyjymlL6htCFbXmKf3Sv1pfWtgWVWz/uz72SysbL7LZehHQEqGBlvbrKPynJlgi
3f57TbAvpvI/u/DlZ76XA5pJq40c3OZR8C+K/PdygPC4xStHs63CNv3SoH0vB8gLtogJti2abSQp
i6vmu758UZpZMCkFyPjfVel/oxyg7vilC2cs6JKAYGDSUWnsjWXQ88PUzAD0BpzZ7uDGWPSCZRav
xjIXznzNdHceKi92I5QjRMoMagT3ZUjl2oT+oa1LQ58KUHBTjHgRP1Y9XYErhK3qOSwUGxjMo1VD
HzGzyNiySckz/Be4m9vrSAkSgoWUwC0L5KpWL85237tNsbLVahDH0TRlC+0SCmL7iqWsmWf6co4z
csCImKEL1Iao2SZt5Z6iWo3gijeWV0sp7uuSZh0ap1f3pJd5Ik3ylVbL4UiC7rTRnRgcXZb2N5qV
yje1MM1qD/04fBtEM26yVs0vYist1yw/gstEMcVmUJJoR5XH0M2RxnSN9C/Yt30pT2jL5aWWDN2q
CapvpXQoyEddb16dOAbe3Am9JwfL1PfoU7s7Ik9yn0/QfHfmzN0OUSYvwo49FJJcJGvCuHFmNVuP
RlijYGbKgb4OoYvZdcoeNAAMDXWh4LB524hKqyqPzhDhqaEZb3xN3Q4/7Qx2u2LxhMJCfzHmil5l
RsfvpXqvv6WiNY993Yb7Ccv/k2G2Bg8SnR0e0LPVjFb4qu/Tdz7SYl+7lnartbFKbAsLx5OQsesB
Eo8uIeSGRMmZ8aUZt+3WdbNmncyuczmDB4VOTxSOO9HRREY4vQtrzC5MGbQPfc5ApXWTgizLWAf4
r2WzZ0VtupncgHAx8APXWloqGxw27dmIiXrpQGQdGfTS7LXpIZjymUWE4mxqcxq/SYHo3any8DDi
Xua9JbaCTt9S2Qy2LNjKKctw4WMUqien2FZhr23peGdvJPFgBJ/pBoesUayH3lUe0YPrFzoW7Cve
frBRUtZHbamLTdc06tU0RyxTHJnswxg+aUle1In4g+kmahzJUS/r9RT34zoc5mDT1m0brv55sn5p
eI2/7LZuX4v/4xGF1/3J83X5ye/PV+SDuH1NxLr6l+/4x3ZL49GLDtC2ecbxnOMh+v35av1Goqqu
s1/+nu/+/fGKZxHJIEFTFlHMy/P1b3VbX2Csn5W8OmsCHMkEcGg6QRw/P17bfjJNxhvKpW3m+FOQ
qMWB9IrMKryCtfUmtSdSNYThJ1F+jTXR9Ye4oXUhVVJOXbnKkm4/Nxry+wQJH/1m6elywk9Xc/Vx
C77hVH4ok/GlUuvThBd3ti3nosq5L6FOe0Fl3DOW2+ICSlZhl91gIcZuXxvvlkbGsQ1lfmFXu6oy
ebDr0X8lDRlx9jcaiXGTyOo215N7W1ukRil1U6/YM3vp+kn0ZAjGWrUiD0NukrDCQcj9W9Rp72lK
s5WwQzwRICFs+/yA0FfGKwYnIfRiEz5wMIqXKhuU6TqR8I83JE/L3CC1uCvvepCnFalDmoBEXele
WUp3U2nMR4Z2Aqah9ij0ANsNhGMQiJmc+wSUlFuwWS6dzIee8NHZOLCBtniENZksdS8zvDotxX4w
4dqTbo8IYCpv7ZEgDC3XX2CcYGByG53ugJlgWw5HK2jbQ60Wb7UewY0nah21MJo73J1WLrCdpKgP
isg2V3JK71SiHr4q+nakCxlV8VSI8iGP7fKqmsfyQi3iyVdsF7+Me2WEsOszfDBau82bJQ/MPoxm
8ESxoIF0NaZ9aSWbvhDqXkPl5WHmmdZfds2AZGDUOdideT+PTtjFhwFZ4priT3qOFihLJnV+BRzj
DtHjsMkrXDSuZR9FHnep18k6fkhbRc/WcH8ta62BNJn16Vpt55Q9Oxhioh+cdVOptyE60ADvrDcT
vkoHTxKHvqtb/BiJvQ+WWLGhp1adW5a24V3n5FejO2z1UZ+8VB18QZpei8c9Ssx+L/LkkePjjhNk
K6XzkCszysym3YGEuIMMftHI+JYopqe4Q0UKiQQkbFT5FkMxksTJtRykyW7V1hfc/4UFd/rIV051
3Cef0De8oeG9KVNorln/o3jQA4/pNgEu5ove5OugUJHA9dkJ5dUNAO5qP5ldeGEohJ/08q1Q4J60
d00Pwtit3eswSvDfDOC18W9a2oPqJthRymSLb5eWlLUpMXonkiVf8h5Su2JbG2yfNnK0CsFuyHxX
IY8MW9KrG+CkUol3m635UqrDVYQoT9flsWwVAqHHFRXeGxGCFrzs5HYOoysJvKduyEUxtYesVrW1
qk+bmrBGP06Vy0B1twmGqh557ZI79zYEIl8zh7xww4laYMiOWcYf09yj7PoOn36+d8L+YuiKI39y
Xo+jYRzs0uy81EG0sMFXNiFGVYr8JmJgpaORCJ+TGAOamaAfNtVviAN36AyeW1dupDtwBvMWDOel
c4pT3guFo5ZJqIaLrjN2TVg9TbYdeXqOakIKAsv0/sbRavjAI1FptPFPcd/sJWHBmTIEXumIayMJ
92BprvWCYPRpHk7mICOfOco2KBpnTxbnDpz6NnbSRwBHF3iv7+2CsWiWqNi4lvzZ7BQV9TFV+0eO
7tsm5rvIq+Fd5NxqakOisH41Znm/DydE0SSf7DKdUDVXv+EiOZQ9CtGo6a7agHm/TbA3TdMTIeGr
Ga3OZmhVVvDyqLikoBkqDa5UsPiJndosBQI95yx3kuh3JgcXZEVsu2y+7oa08+y8ptBpjmPFJevQ
8eVtdh+oxUsqMUHV5r4jUa4V1SEqrb1mRA9DG9+aTnsHfSPzTIue0IyYHjtvKcFCWk7Y65yX+0Bv
LvBLHIpZ5w7T5Ckq0yOhly9jZtyiIDfomtmmlTWh5JaK7DXeFFV1ZeblMbadb//UJl+1iUab9N+7
vl2fv5XZR/cnnR8/90dlAuRAZa+JYMmCcbw0hd87Px2KCvIBbMWqIdD5URX8qzJBqCesr7BXAwUD
geJsRf9VmojFKKHpglGwpTLGBaPyNzq/n1UMpipIJweHgKuY7avOEvPnwqTrJ1nzJJBncmzCxE+m
m7Ld/vChcNVPYVn86J34XQj47+pnkUqo8EOADjGcsxBMULf92FxSCBhJkrbV2ZDI5VrMbi0CmcjQ
C5IoGbANi5xrTK/nMracyyiK7KcmtPX02mGr60dqPuoHHeRAi3+/hukfB9kaqx15Objyeo7BacrO
AW7frFT2U+vulLq87VSWwVNExVLbN2Pc7oKp5haHZ0+1qa1MUR+USl6xwHvLpvRVCYJVX1X7JEue
mDdq/hxHVyFmSUfP9nYEgUgbm29Nb28rAmlWWS14GNWix1cIm6Uz5a4e0IWTb3tvs8cxWp9f7ym0
1L2KKYoGrTrUY/GZtejeKXs8UkY+A6LB4OlXHCUq7PO6bTZV1pNpay+siQaRttRJZ7DVt5HkKEOQ
faaJAkN3eAh0/b4ZgdroccfzDvxqNMl3tNiHSTTFpk6qUxGNkgwo21iZcWD6QdnwUGSFaIuyW4eT
cULJ3/hda1xn0g19wreflMTYzNIe1zA+cs/Ru2+JXWe+g1uVQX6J0FMcbdkIxsjkg2VpjW9AZRtf
kcXrj0lfQIjTaeRwOhI3Oz9qPKkMvk6v7JUbUypsd/XsTuZwK1wnfVbqRlDHVntX65LLjI2kHynp
geYQM4BWE8fkhHTH77BTNy6OyjiXui/GusXAVTwG8yD8oGZNWobaoXGApHUD/gXbfAeRD81zalhl
iHeHsNWVk8TfnJwdQMhMY1V37l1YW98E7jHCzT7pN6UPeWYXgaPgkHL8MszPWN7ftCQBDSKILkDZ
uSeEBasD6zrU16zyDARbou3kWigqeUtFf6aRvCdJvfWVrNtHRtSsNRHdhmOHwhwis495gKEC4QlD
aK/ncoESOcmtbiy7Cc4caqfHVJ0tlGHWtyRxX0zaYeaNSMwgdDAoxG5/YoLS+CFOV5/nyn041be4
Djg/UqL2kP6DuYgkF+v4grNkyfaoGRRLPg/bnp9ZXyM3VKmhMfbDKrI2Q6Pep2F238aMMEfFwVcc
dqfcVr51ivOsOLgarDTCBrikU4xB6c5re7agAHbGxOr7S6gGV4+YrIpPw0XxWt+ZocQPwZbWq9ws
vU9Vw92b85icLUPe1TVF2lx95m2xj9MKlXpZfWhdjXcPe/O67xx0nLI79k2cPArRrTIryPzWeijc
9bidoim5yOG0xIpy0/SJm3ugCesYMEnDyJ31g2KP5apxq9JvM/LrZq7f0KgQARo07Gbu2w24U7v1
K+7NZdh9SUPwFDnmZ6yONS5IAt/ErG1ybL5DNB2JOH4FokolFbNJ6J/DHmMLz5ybptDWzN9vSs3Y
S1K/p8leWUr4AN/guUURQBTD0ZXhGeXYecqj09x2m5kIkcCdPvqBtiiyYcKQmLjOKdhT5uJ222C4
dsxNUw2XNm6rpk7Ju5nnVRSb0ivdkRE9K7VAUa6mrqGvcFPcPO1n20UbvR4flfbT7LkSB8veGCKB
RBAUkrrGDWQMx66fFGWtDpP9YIfDuK3rRveTkDWI6VRddZmyEMtLwYh9rtf2UISqnyWLST0tRTUx
wGMN2E1l4zsZ7YRj5A8pmUhNJ5+kzB7aWnnGoGNcA6iczxx49abJ6tda1/ZRY3yMgXNVz6D5MMut
itwhXZBoxxXUCpi3CcyZfM5x+efOdArz6DYOw7dEbxRfpsTdNfNkr6ucpHFq+AnzXfRc6HyLMrqD
656sXEM59EP71GvlfAspI98Ei+a04v3BzeHs8d2UZ0CvZNaq7av5SmEzeWclxrSaJleuw6Y0C+7y
9jFw234lOjvfcTc7qzrrVsIaiEbTOrml5ip9Iy+nrSzUyB+yCktQl8bc7Ey9ZOZquzYdzuzpbloR
4eDXtskgBq9Ugve4JHVytrS7yiyfGm28Dc3G2qMHfyqX6ErSY4L/wXNcRgq/HLrIcJk4WMx0bdbK
Px+6VtYjRNLr/lw6MIy0K0xnFu/aRPpAssdfH/E/VxHLAY9BgVxbbWGewOpmxPLjAd+25dgtdv2z
E2B+eagnIrAe/v9e4heZmMzqLJN9Js8VN+aEty8aXkR1+//wIq6LGo7airHnLy/SRmk6JoWUZ6O5
q6H/KpfKsP/rl/jPr2Xxcvz7JRY53A+D9q4vnVATozwL5zavNzPINKqQwn5Npv/xSov28ucL4OdX
Wt7JD6+URYOZWyz6zjXcaa0ASKAf+vwkCd/JDzMg6L/+xX7W8f1+DeA2wRrLAsEF5vfzy3VhQg5o
p8lzVj9pS8qPdRdGxyl/+nqZfzZMy3Lnv/cat/Fn82eo5OWn/ug0vjoDdLjLnNFEXfJDp6H9RqsA
mA2kAXKPBbT2fQbq/mYzC0RVAveGzc8yHv0+BMVd7Wr6En22KDQXfejf6DTIUf7pgkRywnAW2MKC
YkMMzrrp5ytkRh4R6WWsXrEJw9GfIwqwtJcy/ICGOJv4MhuruIgd9A6xdPULWfHfG3y6Fpr5vq42
uPJvsr5/advZVycFVVMaPRWNuYXxeGMUyOhdiojWftYsNtTZCIzQBuZl2u2CZWaPHPY4bIs7pJ6M
MF3WGnWtdexhq2eYhCtQD0dzAneo1a9zxC2TzE86G38/H7tDZBZweRPbT+d41/Z0EkkxP2mhvcM4
E/vklJ1HO3pmLHMP4OvCTZiNWjDDUlP/psiCaU7/QOwny++e891VNrM9nzm/4QPX1bZyoZhIF8Ef
qBPPCCif7UDuu7hksjlhhAZoZtfKpmkHvLK581BLHVcR46Y9JYXmyUAcE5WNRyKVHa5LKmeM5bte
mbalIEBGG3BmWzey6m+Q6jX3mTm9ZhXtilU7hzBSH9XcPDpqmfuVOp7CtDI9GRKkbCbFrmP1hXOi
PwrR7i2XtJQ6MA+T9tEWxUsY9PeTQ3EyEcPszY58SVWMslltnDJbfBp2RU1oavcW7l9PqgIMC9Tm
rg1pzeRgrdVx2iUtGgzOqGqIL/qWzywMM8E4NUzQRaZJNzSX3dhp0Tqwk3Lb4VAZj10ZE00nKrXb
lw6whs52J/ZYXZJAolMb0lxjQcoYlofOfc2GGtRRZ+rdykpB6XijISex4GEIcMwEWOMI+GwlcEv3
Neb80ngvIsi+SiD0FV0Xgyy95N+kupJz+04usaCgqL85wAzQbiQrYsDgKy2WydBMb+y5wkdu2JdK
pDt+p1f8HSoOXiV6ykbxXDijxPo13FY9dbULyXrFGOgjqdpv+jR+suaENGNnDyHSbZK2jBPBXwxT
W/3YFEq8xqdsrBFMn0fdINjPTXciap6d1Ow2TDKztRk4z1O3tI3Cwkhmy4/W0ZdVg8Ttk3cu8L7W
8VUISacsVC7D52xYFWF4KMbkQ4ztysy5XgpgPul8tIpim5TV9WAgaohwA1eCzsxCSJpFBOPhT0I7
Yj0G7Bm2Jv/F0eRjONfX9Of+JJT2QrbP7FYRVU4ArxQakHjFXzV6KmItxULEQXyjpygRe9JmZOQm
+caTqL7ppzLcp1jTZqu4nJvqMBbVN1hrzAth46mbekqb93/Ola8ZlvmXyoW7PnttPv9zgrX81Pdz
BaQvAyJO9QUKvoyw/n2ufCH4DZXIrq/V2qIy/H6uWL+hdWDnpi4Ub7Zs/F/fz5VFuwAodBEwsA5b
tJF/51xx/ky7gCCS94AN1nHVX6o2aGhqXbBavgSBgGgu7l+aCaBNmnY2hLlsNTXZo6mhBpvK4BQv
+1pTk62PKv9MNP3edgOyQUydXQQ+AoYPx6hPTpONdbzU41tVTT8wD2L5LwdCKRVJVyX1UzlzBgSq
Ffp5W10Vo/ooZ+tFb8WTW4fQ3vCIbYKMYtvFp5kJOq9aRjxJGiSRWKy9uEoeTKd4qabyfohi9ltd
i67esh4awLbFWDx2LKVR3B8jyyZjJz4NaXTBc++lLckXiF373BgmEIjQWef8YnjWYmvLg+pAF/Sc
TwQUi8SY+WuXZIJM7hxX3k86eXuwijdCzN1KT/Dhs9TPOGScj5p6cYVs/6LtGNEUGCEcNilm6tyU
sftRt+6ZB+/k6TUzfXWRoAVSXjrV8KSmxXvQlc9BrV+1ZfEusIz7fdrQyxfS3rV2fg4rdxdHDP6S
8CXTCSSvMoeIU4ggnEvlu9TcE+dct8qnhkRmOGGribE9MgCCSGk3Ljp2/7UISFfMVnNcNRssdBu1
kYfQdXehbt6wMPgGjuHTzps7Iw63EIKf8nDOFzfkpcOX5KooUaRksaqrCEn1RWpgERIZueM3cHEl
Dj11W6Kt8vsGFXiu6o8iNG9Ex5LVidM7Eerfet0a9lO8/LjZ9xth9E+50u/aMuKhaFqbvsNiASIg
2fJYe8ZckW70qr8ETKZ6cWpTbmh4ReCqItxPN6qN1A9r9bbuMA9y5vL8q/jWcjopHwPdqhexAUzW
2aDXbLdBWx3jIK+p3NFeNHDRPFPONzb5uLIAoleL2hdzQK2QxoudYCRxZ25RC/ZccaYtFd+ZuYin
/8veeSzZbaxd9lU6eg4FTCIBDHpyHI4t7yeIKrIIJLx3T98L5KUupV+/IjTXTCKrWKeOyfzM3ms3
vIaZWYbboZ7vMZPyU3N3Fwb9LtC7+9m1jmrAoOKYKR4AFKObMIXN0KMJaYvxxWV2SmVffuhGUa/y
IkApi2Zw0NUeIjRrIC3a69A7NpqD31PXC19Oum/ogKwbXcMBEA2wc3v3EzXv2R2LfoXHt9wCgznI
cJo2Ztfn2zAbYXdgNzFrZG0tAwx09h9NhwFHrw3JeAZNSzZK8yTyhPRhSuHwkELHsjZQe59NN6n7
ba01kXriaQjaa7N1QnpgZVs7GWR6/uCgKC7o88vZYgGZLum9DAdvGK8peTNVKrqxqjF8Jf1726S8
hVYiEsFVyUwhbiWERO5SHUZc5HjhPcojDRiuPd7qqQaZpFLWFrGxBWHLTefN+J271X1ncFXfeVwI
sGBzNZO1NqB1FUy+4XbFlvmSDLoO6SIvIXux+TQ2o3S+6CHrTcCbU02NMXyfv0EhsZGPKtMJH/TW
SZtXM+hDsvWsGSBipWcyeAP/G4mLzt5TQ6E4duX63+vyhxzlb1c+N2mXvTf/87pcepmf1+VCskJM
xyTkO3dqaYR/X/iw1vEclw0+LGxg1NykPxc++m+CvzLAkyNi+bEL+nldEnMDQZaAzN9lKv/gugSv
/RdtGLRaHoULV5va849tmIjCPLcgHF/b6dAme9UT7165VXKJKdvE3Ny60fwcNAFHfZv6A6p98iE4
EinwyC33vQB9r6IYrNsy2lpFzTla+J7QTx0MSEn5aFFGzt0egcdrQWUZhNBnwmtjKTmxZblracN9
cox5pKqVQBOn+WsqPJLLO6K0BfWrI1jwuJbW7sTQvsIV3TMBp9il6lVL+VsthTBpcad5KY1JALgI
3ZWrjqo519BTZ7X+qainydz+6i4FdrGU2iCk7rOl+E6owodJe65nKmyGnRvCsN11P3tXuZymkwbu
Wy7F/LiU9SP1PSohvjBovtlL6d/TA9S9QbtBUxCbilZ2aRSypWWA4PhFT17s6SZq5LxCqcjktgau
5EWbwGlrsHhL64FGnTYkjyz8Q6U1DYf6e6NifG9a1Fhn+yjvaQ7GPNnraqq2aazhcxBjudUDrkhd
98ZtY7rpTp+YwltmXxtrqTjMp3Bob6OpAm89p/Vtz9jR78q+YouEscpswCE0ixY8quJwleUJIP5K
vhRzbYKEQtMpauEitWmSbbugkUavQDjhBbZPJzHdopcSKxRI+ga9zpqNdXEEpUcdlAh1CYgk2CCq
aY4RSlJ/JHNolYu0azaVCbNCi6zAN5Lum+kBkwX20K0rqKF74sE/+paXj6ymCidEakEuYGOmGq3Y
0zh9elrBWYqsk/h43qr1QkjVWbFAG09vXAvDo4HSeWmUyQQy6JRFaoUoVBvbd6PqMxsNz7fJkYEw
pgFKngv8yZzMpMAM+bu7xGGbk9L3CIV4bnRNX+Uwu1nYtUm9MRyCLbNayz/KKQ8RJlGoNUu6OQPk
+jQ4xUDgdlf7MG1h/JBg6JetTLe8eGIVNDY1iUOqyhR9A3ds+Q1Ti2ilz5nlk1QN/8p1xYeeAV8A
mYbJDaHQKswWDWsp+i2QK0PjUeZyE+dd+sFnLjzWmOX2w5zk7TaKkYqiFHVHnGv4xr6ljKb3rmGY
twWgLlQlTgPKfNbrkwUJqtbHh1Qzwg3pFjZSei/ZFWn1NGns/vQ5YAfJIBrr4bi2++ZVC6vnFDIG
CTsMyKNsHpka0vvHOotBZ4qfjLy4iatGvU3eTIYODIbz1Lkua792hdT/FlA7weQyXTwYTnVgffcZ
pf1bpwe7IXRRdnjatyFuG9Zm6tXS4mMq0pdRDuh1GrKt0qxeDhHvwlNx6CCkU28DJFmcuZn7AP3m
pjKIgqDJWOV1ceXo4ospvec+1Yi5qMebdkY04tb1nlzM+2b2HiuyPrBj4MCrOtZv8YQFJlCTb5kz
a++cjayb5achpC8gOipcykUnRJTapVZ1svUZQgSF35Cbe1WgyneCa9ciO320qs2EdJtPCmVXzptt
NSlKJ4GM5SN2GZHIpI33QLUVDXMHlAKQ1lGiFFgJWSyr8OzDa2zOLJ3tKVzam2LQ7mXTDH4Mbf4Y
5h0f5SIEz0BQx9I6tEy/W7RGI2dSUAzhbQaiZ9Xwcbntlg/PrLPJrpcf2pZ2tI0D5fl6U6q7NKzL
jWsiaeKE6fwmxg6h2aPnl8KYtnMMcC/uQBLqgTP5Y8ckLGiUtQHGLbbeHMuVrO1vzRTOm0TMB4RX
18zRTpkVn+1uXPRHuulbsES36GPI0BNL0AF7CT8NAmMj9KLYm3K0NzHDJRWl8zqggvFNa+Soj3m0
Ucan1hxYhqS5hbouQrs7lZxSehUY1Lj8pnYNsiXqWTh3sSF9LWbmhGdlWFVIqNfsRdlVOkP3Y7D9
78R5sdr/zcQZ5e1GfYZ/JbzlG39WO4b8jfwOPnBoPL4rVf5b7TA3oGhxCfCwKTXIlvi92iH4g3Hw
Isn9ryb3Z7Vj/kYBxAYBX6Lz3dnwT4YD7J/+VO04/GNIXCyLaQStor78/S9bEBXHUROlrXUhaIwP
v51UhPWsO2knCz5qKM210c8ON6fQS3PcRPk033cAJ0MIeGeri533JMrXVotXWa/eYic1jJvBaNCW
xN/zHJol2iEr2vkYWkveQ7VEP2DkJAXCaHR6L88jHCILrAArj9SJsk+S2LhXjpeK0xzOafPFy0M5
XGqrrO3bZZTWyzz9DHqW2kWuOqSsAm4nLQLWbA+DRX/XVlN7EKmJWnWe4cdtyTvr3mbhdMyNq0g/
mZ0XnOqqir11DtlpG41eta6rut12+qROdjuJcxDMJatAL/DeuyZfENRVAI/PEagWkzzqbiA1vU9T
/uYk4RdA8dmWgR8DYml/lm32ySTYwDuVVeIrq/G1S4yYWYXDIZ91e9cmWvc2yFCSmaErtWxxDUz9
A6c3msVnA4HHxoNJ/mVUst83Vo47gubrrCUmOFOjhstZdSPhRWXlM+ss1nU/t7jfiAdkV42/okYG
54FH5cWFWNW662ZoaNTb7OR2XrEmZ8wBuW7Ph0Rw8SvTQ4XsRb6jGNrUIdNRa3LjddF0kPdzvGmu
9+mKSCMAYN6ToHJtkVHkTwG0So1QaMCPCFUaQSoffeAmGTClOdL2C8MbVx2MsTaqB/bn4Mh1qN+o
U+xxU2OB2cZaaV7DZEjutcG27nIp889YF/Uxq1T+zHYY2KOqvuYojv7NLzN+NGh8gv/+1Fp91vl7
/VXlf3V08d2/H12CjI5F+e/9J9njD0cXcRv0R3BRHLbB1n+PLvu3BXdH7ihrM0t+Twr5eXRZv7kO
In9wapLuj5HPPzq6TLrBXxa48PsMVqk2ojnkf1iz/szX80Zbw8djRVda4pobe0nXcufJOsglcQsT
NQLPlghCQn/YhzvrMJltSvGhauLHKU5iLm2kPlf5kuZFPl446tyOen87fg/86pilonUKx2omC2xM
ezAQq+pHTpj1fV1DUA4BYrQaoMX89nu0mNu2A3pgCAcA7dmhrzjA4oesQFcvWACb6zTRJ7DfLlw+
k5N3V5ZkahZtCkgrYnWQ2p3zlBs9zQwC6v6pzDwXx6ldzqg68tlICRWo8nVile6NlfQl/NkqfgXU
Z+853LFJwZwNrkmKDd0ViFWFqIasonUWzFmISk0Ga68wDyhXsjV1SXfRNSe7cmTe32WmjLZ1l5hi
rZwcS7mGJK5LK/fNpGib117rFTMK8k6yuXaV7cCzSJ07yK3FvJ7bTO3T2pm/ZKZmbaJQTE2+nvTK
rs1d59lxGayYBibFwe2t1kfZMWnNRo1a/9qq2jBoRlhGidjosM7RCi5GOnS7i61uGtD3eHumuHzZ
VNah7+jtfNvUffwGybm59ZzG2cUEMbFVQ1XywJV15VnkP90UGs/mTU4Crb4Nm2V5FwZFVx0i0+io
TpUZvyZpYz6MXgdzbSU7OCgIV1S6162c0ThWpyA+VDgqxmPmKDF8ysENPz3Lc/yuhUCXqqhY8i3J
L8XsT4mq1Q6AWdW8RMiC6utK0zxk4+2/9daPk0v/200MF8Vf4kB/WcSYbPEdegNGGxaePDKF/jtZ
gvLkGIhvloTFP9Ra6IXRGLPyX3AP8jsI/fdFjAdD1IY+YgIU/mE9/SeTpUVg8IcDiyORKsphgMme
nzH/n7QtfTk2dh5G1nUzCn09j/2BYQcBgLGFlFVWO6yi2Ana6dkxZ2vThOJLbbnnFgjjxtaBhsdj
IAAQRKcWh/8q1/OLBl2TOTYmo7Hpr7B3Nhu2jjj7iu5j8vLXCMXglKV3CSSjfGqPoOfuqpLBelxN
rF5K0nxrwzznUBhXoeY8NgnVQepl7X4egse5wJASLvLUYh7Xcsyu7dC6Nga59ari6ECWThC9Heae
2FKODmZE0ehzzG5Nt/wmSgIXh9A+5rAzyqn+cFlJe80MkzpjbW+y67eo9VZUTvlm4YrqY9GtnTJ6
GozuLcHcvY6SaA/FOmcIDvw9iywygzFprFVpXSWM+tMEntBQ19+qPqIL1AoozakLRqYu10NYXcd2
z2o0a5Ndp5jUO1mRrJIITpSnh8FVI6FJRV6HnLQS8zeXqcZVL5wvs+LJLRk43JrBxCSoqT+jVvcu
cZEebE8zV4FZTn6UN+51o2jsnKWlIo8VLtfSZiVLwxWHeYSGlCZMLe2YXBozMTrhrR7Cip6Xtq0K
WSxlSytnLU2dWto7fUrjvbW0fNrS/MVLG2jB7LGWxtBeWsRsaRYhIdM2Lg0kRXnAEJCmsmYvAlbJ
gitJx2nQec50oETzHNqlJVWZ+y1YmlRUj2KrLY3rtLSwxtLMJt/b2qXBBbwwbZ268vx2aX/jpRH2
lpY4W5pjXRnqjp2Vy8iM1pkY6nivL+3096lUY1naLcXhwn7lN62WBlwBWNm5S1MeL+05a+tyq2W0
7MnSvNtLGx+aCyGzuek6Pd9GCGpZyZX4ClgmqEgCnV4GAqXXWKvQYCgxzctTpMz8bQCA9ZhHCm4A
Jh9IlDkj2TGkPw5yhrduFK6icg7o5iHSWzWbKHdAmBkNAiy406mv5GGzAI2dALVxpu31FjeZnW6D
IPeYNUk4fB5ycPonpN4Co4+Gb3tT04GsJSEbt7NB+tXY3ckhSxg2xjgFUzO9Soq83dNGfWvz+aPF
gb1rSww1KR7gizII+bZGuUnrSh7khCVJak7vu0Eu7kyte1Je0Wobve1GeDPmaBgrdixfBh6VM2sk
+kTA8Bumdr6mpgdDG4zdGIVyrffeMecK3w4DMQZe30ER5UIqnZnYrzTcqjzXjprQ98qyHvsmhi8W
clVW8dGJ85sBta+mOZfGfgsc89QVsn+ZkvRzkMRzsZllgmTEG3foBvQnTr73PExlql6YqIl+Nvlp
URmd+l58qyjEAHWkF33QjVXvOU8zmNaVimd31TbZ1waEFsKm7FDE0y0r83Nnq2xdRL21aF4LP1Eo
ccY+ghc2FSPaVMdZ1Xx53pjl2mkIw0JFvJBbs+tOC+/TMXjTi+61FBwPLp74jZPUJzUY72Mi5bZJ
UN33TRHuDIzNxrItTMQy22rQEs8GsZBNTzjM8Ey3q28cTdyQPsB0N3PyA5FvfGWLErxL0n5dtsWJ
se4+hTgGxizYxXpRXSuvndhELdSs0du0Y/3ZoOpe2T1rzsiUr0nQZfYWQtslN9svhXAOeWe/pEEG
0i0jbqKeP/BR1qsOPjS/dLqLTBbiENLRdDtXUcwp4xVkJtbM5JnyrvrCwLpB/svATN6Eg6yp4Tbv
sjOtLtpflX60rrd3cuvKCEtfE5UfDstcHYB8avD/9nuE6X7dqO5boxyEiEO77Yvp0GYi2rIdQHyU
3AbIrbkLunVqsVtv09vMAx0NxjZNwm0k8z3LQYLlMvWQKgYFJpKUPGjwkk3zPnCNs8IPoWPJbzwT
i4f+GXQ5xDLLRWuF0qZxbxQJX+tQ5ne6Quj/79rtR1eHIvHvu7rLe/v5Vw0d3/izoTMpgnAyYVl1
vgdT81e/b94YK5mMvql2LCSIvzZ0zm80bSZiFPunn+r3+ogQR6oqJlv/YXX9o4buz5Mo9C4eYkoT
7wyTL/PP7VzTDcgGOROv9eKmDsV2ip3NL0/KzQ9t769OK36/X+ovJLi4zGg7EVra2ODtJd/y11kX
w/PE6kBoXDciPirnSdOvPfuWKD4juBl6jMY/3o1/SMn59ed9R8n/7U9cHtEv0zUTk66ibeuuY2JL
yMELW281QU0gbSMsmtuhLtxj34Lnkwn5E43cyZhtVhWMgb1ts9bZUkjItxHS/UFaEesrxv0boyng
HrnR2S5Y6Llmsi5r/WuvJd+8UXvJ5+ymMEyxclBYUIgAH8snNhqWGWFZTjViSkIV7kUi/QZNzI6g
LmsXlqrwg2mktiJrYuXUTOKZVNXUOorRjLsuO3UHEe2E/Amrk+rPWhXwKsVqlQXuYvfECDDB7ZTD
bRBAOwpAVhaFcdNHOC1dWJc6ZvIkDk8FITCdpT3WrFpWff7Wz9aiDN33ztxsjbbxVcuGqnSPeDrG
VSQRsmhljb4jIp+qc+Z7h1qspsmmxbwv2FogrIDITMGzr1DMtbdzKfiDLqvH4joNxbnFEX3FppIC
rGnnTQYrCKuoe5bMFInwA06mDmPCfNELrjQ9uZpm+WykQDmX9g1MEvRqU30Rtv41ZdG2HWxxgbGE
+AJ8UlKe22DYEoxzmCx1o5P1QyYlne10Hqbx3Ll4bto5g3FlD6em158rCKtC4O/P8vnRTikNg2xK
rlSX3+RJC12SMdmcHPUC4etYYsBJWtaZ1egiNukTAj2mdNvEziNTVJSAmh7uzKzsDl03tOwRTHbT
8GXOhJhCenJNggS/etpwLSL3rulqYwWzDDB3VO+MMjsGqbrpcu1+6Ik/wbi7KpZVAwgTJ2u/EmiM
wlfGtybKEK/LulU0gkwx5UZwdaPSp+dFuyoH4Q91v9MZ+7WSzCZD3xRFcT/n4iYLUI0O9CWrNk36
u3GK7oiTP9RUX27pvggEMKNj1w+lTiBbrOpvuUWdGXgsSbDTz4QWCficpOF86kN4yju5oTqF7OZ4
BzMj5AzN11ZqWLmC8CZS/UXYxJzZmT/q9jZ18jU1FFCUYl8jbW6Qc9mNdgVbcGNiTeaguJ0AA0A+
wG8J93tXedaTqBuio7SMxSvMhNxOp31C7QW0Kt+VKiTFddKOSTM/MF6IEJS1V6ou7uOedW/c87YO
mCd3rvnudfF77LiXokrhXMUwbLFyA7Br0MbZQe/u/730vl96ixH2f7/0HroCtUn+yf2WMxafDl//
3//9MUhYvu/nnYcCk+Yeyw35hSj8l4vt9ztP/w0iCiIUsoslM8tf9i/uEryOzN5gKcqX/GIvtpzf
JH/AXQWdksnAPxP9S5vV0J9uCBjsDEoN4NMCq/EyM/jlhjDYTGdA3rPr2Y6OGIhWomedP6Lbmgkz
wNwuURQE6UWUxJSzGdrr1LKqbK8jQnDzFHPXYN7mBvw1yziS1PGedOI1aFJ2FO1lnA2CcMV+jqjS
Eq3ALOyErxz7t30QJFuZZYBopVwLFBGrAEfUekZzdcqmFPhggqjFzdocLl8EIq1wz7mV3ZAzgimT
kJDVDPYVEvWH1OydFRg3EQcuKxpgwl78Mhg9ku5cXrt2RRRox3mWGDj6O1l8lUVBfNUY0a1HDq7V
nkQEe2LQ0ToHK8geLGTek5gvjfA+0qB5GKYe8iGpb4XsTpKJA2nL8tounGNKc7PyIvvR0rQNc9S3
IZK7pmdbVUPFWg2ee8M4hGOwgLmVXJF6sCs1I1h39qDW7Kq0lVFrzx7zAjjM9Ld2fI5qdDeLQh0B
ADpTMMXsVfA7RtLLdhqW0xG9pt13Z9G5xVVZ3SKH32WJ2k6Oce3Y3q6zxrtpaWNiLkerNt4tIwIy
rb3QNjwzUN/JrmP0Aqtjj87tQ02YLoh23mQ4FVbGGF9NPU8dgJhbfQxG4lFk9lQJmsXGbZFV0N9a
ldNfhbq7CwYW8JkNHG/q+nucn1v+W+2UbNJNW+VPHQ8jIGhqnSiNMLih8G2l89y4BpGw06nqeR3i
GK9YrLvppphcfTVN1p1yi9MwBF+5R+nzpHwQhbzTMM+sWayfPeLmVp3tROuorFL6wOhOA3QMvEtQ
kMAiHqv4gYb2CyaWTR5kt1mUfCUa4in0aG6IXoA0yC+1LwNjQN6PIjMoxnDtmCaeTHxRygkAAKmE
E7fbzB5OwznxddHvE5MxR96N09Zsuk8atHIjJMhjhKIvBTIczyjTM0QQFAxpo0itQ6CcjwbHe0OS
B/EyxooQjGLFqLi8zFP9WM3JHdB0d01MeL0qlEa3PZJElnU5/XpdnHRuxDNIs13nNi9KOmcKyzsQ
3mrtKFZ9mjHPfpYzGcgRHe28KeedaZlvZV7duz0vvD2EgMvnK6jsJMFpxsbq7TuvdJmLBfvBYrhg
BMHBQV28snnTr5BZ7cYZOA/cbYzfYYJHc+D+j6saY8g8vYfEsKy5x8il4RldtURRYT/Z6AmMmsnB
WJ6SHAzjyVezmW2n5E6DdRYFoF/C+V1Lpve2x3U29g9JaoBGdm8Sk+pxCGexRkGGC19pT+DDcm5s
Z7sEdEVTL49s4FAdL9pcIipCNhvTO6/rdMQuvC3KUkBJoRgyNfFpjs0l1bXLSCbpVrlTzkRrfgfd
tp/K1l4XMpt4uVh0TAOd/VQXpDRWw33mDAVI9dbAQhqiQLYkj6enyxw63oH8+TczRcg22WmwQklF
rmuq3VWd/tlkvCWEzNSxcJzHsq6uGmx9K3SCnwSKXTswl5p4lECtU0HeCmQcacQ7cDz1OTB0f8wF
rzbP+AnFHAC4nHdT1+avIkuLXaFxBofKxS7cs90E87APoD3tCfB5ryTlssfRKBK1q6xOI8xYXOY2
um6WcDf6K4j1yrof4myAxVvcVI3ux7V4KGfOysK4N0JAqcUMwkcvnPcQMn0pI6LfhdoMir0RLtRH
8DjGGuPVom4D8FrbvKmTJnjt5fxat9Vd1Agor6mGsdzothkH3Eq03X3pgsGqE15fSys2rsXwYHAC
Ahqz+iOuMZ5wyheRd81B54dVlK1M0Tywyn1KzPa5rlxrA/jvWXizvjfMwdhAZsRn0sT9RrmRvZ7I
2KV5qSB3Y+yum/g+lxYTTdLEg8R4HRLWaF4a72ziF1lpI6CzSomI2Hzq5e3QHOfgZVAnEVm3OXoh
LEJPsUYGLZ5kbGytD7WISEgCcMvUaPZ6LD8NDvqtMXo3vYIpUAkt2GvI1Vgwz4o6T+GGE2KDOOvc
lOldT6ySw7YOmwOancm4z21y4AocntRvz86Cz9Wr9li1V0vmfGvTlYQOJnTKd+gYnvLNqqbGrNWz
Mc1+mtbxGZq5sSNe4OJNjrbrCYzbWe2IWxlCMkUwyjw7yLZDGR6ReWg48dGHQpYJvQrFpgW2fiw+
YTJHlyFvkX9R+9vOc1xkg1+3imlWW+H7JihFkazF6+zQgADPh4asgnXB+XUM2tm7NqwaFvWsMWRp
WnEAwXOV1pHrvndimvx5ofVGJdGpXB4xMohwl9nGxSztA6fRUWLuSEBlslwg106rBeGMTskJsbCB
RaPto0pc4V8L93mkf1oTU5sp/ODKQXQajSRLapsM4LBJqgKUYj6SllFskjFFn5DkJAVEPq4BE7I7
02zEGi/RmPX+BLRiO1SkCdKwYhEj77DXUEI4EhD9Ji0/Wv1oiOAuAZKswcOmmMbIUY7BWnUZ4VCp
/sjTzy0OZLkc42Nvhs6urMbbupF+7DZ4sSwn32EtQbZP6MJGpeUyGxxeckZxjLzubTFtZGo/QmJD
tR63i6/gMMB+rlV60/M5AQo77oy2BLklvnC43rTekJP5xVtAQZIGzLLjgENdJWqubKO5yhfsNLPD
fS5bk/jE7NrxqOyTIOrgFSfTth4xKHLup5togVmzkNlmC966lGCFVWG+z42Zk4w4oLXAjMe66Ioi
96WGkj06qUN0obYlnmeJYXzlaiFawbyrq/7EJ3fvmDSEuGQeyxkrTKzIrze4amFzq6A9BbC67dJ4
GRZ4tw3FuzFHIsdAeoClRCepQSrwYH5jfQGEr6WHWR1rUV/GMNyVcFQ2HZjwyEbzIjX5iCb2MhOt
BZHtI4UqXhEdxss+nUn67PbTgh7PR3nJDJfAroyDEDq5bit6NHjlSYE7FX55t4DMwwVpLmmq4yHL
wHHrM4Q9KA3aUJsbdKBslRfnwkDaysrO8olUM0ewyK/3zYJRr/X4w4FJuXbH7sYpG1DrNXrq0Gua
c1Yx3Kggsqd0WxxKgZ+kgeZ72RBTc4KJgaKQurN4kK12lAj1fBkVB49qi1V7abENmXtPqn/3s/9R
ltAg/e/t2EKiPHeq+T/XH6op/2oSybf/0pVhdrZxo5mY49zFCv17V0YGI9NJuE6ejqPu10kkvjjM
sOABdFozRHN8109pifjNhR3sQn7S/6Ol+web2v8xiaQNcxHmCZN/D57bn3qy2rTAvkonhBeD5Nk8
KRH9eI/8r5NBwqL/2PeBk3KBCSNfockEYPVnHEBmFLpXptN4FSasBaLO242mGdc7JxsvIyuigXjc
qfFnlE9MOUqwjkbr2vcmobXc6uQcX5za8RrEHEF16WrNxYfdWbK6SKnp41Y03RRu9NIARNkMOnXa
oJf7JMqybc0iyB/Rtfh1EZrbwYDDUUei2oIXJ9ZMlqyWe3kTO3nolwTKbDpsUL4iecRcSCCx5ufZ
MBf3eT1H3wiP7HeWodgtrl3U4VsvnYQJUASwv741SvJet5HIdOueXGL4fJzf1W3L1rRW1cytahCT
OEYvVmmcojGiHErp2xIPzX5f+YA3z0MnDdjy2lUX9U92Yj0Qq3dfJ/M5zPsnyYFB1VyxT1biDC1p
G4rqHEXxwQjD5GDUGM7Amp+4QtgPZS51cOHrihJFx04/F9MReN9rGcfTOk0dSTFWXddKxnsvj87d
qH9EMmEJUpK1KAJOKjc1UGkXWCY9bzuBn1wRLWRS4VG+tONo+xhH5hMpDaeec2jMkn2r4bbLUrve
KIvwxLnE5qguGWK3bWCJahVGpT/P9SGo1V1kV6kf5zZlp5Yc6pk+KyRiO29GQsyi7J681FNksV3W
Jl1+mXrO+akmtk835W4seasSS8h0ERmQBvSJFOXDWFaXQRDOaeAaZpboIg90ub/D2F4uR1rJUWDQ
y3ME74GHRyMQSPSm9lJxVWPaqg99MuKRT/VPIbuvRma7PkjMjOY4Wwg9uKhuy9wFuzUKZTOrA6nn
GNrRQ8LJtkf/kmjRYZbaVWs4jy36QXzRkjF4DQXFXSYW5zlzb/s833kxXpE62DZMMjJJ1BLcRd8d
WnNTWTzx3Gf7Ru+fjZmgnRI8PqKNN+Rbl0JvLXrQ8Win+s3MP9obEBddvPbC8LtSezcb8qm08VCI
+WwF2p6dJFvDwp2PDhGlOzsOt7Vj0wsaEFPGD4x8CFHc9iSy5Gyb000YwDpDqICYPPFe09B8tdCS
bOrBOHsCH/ggrqtoP7FBW0czU3N7rnZOpD24Y/Mokp64qGTc2BElZl+aK8wq6IR6hUE/OdAmpNxA
xlOpRQ+EBTxqZUG297BzwvKb6YzHytOO40jqJFr0I2JVP4Vas3KdhpRWA15oJ9o7McRHfr+TTUAj
jQgFm5UCMy0ApppWGV8RF5XsRy0zX0FvOy+NW5DfM05T8Ji1QXI3ggtfjawHcbYENQvFFoecliTM
W9AyRC0qkcrUMPbzsTj3JUTrTsxQcNO6D5p1V8rlE4bLAOqBh2/VrQL3YwZEsYmo7LWGlXTfyKsg
KgHfpFg4W+E1vJktItInyEU0m+TLY1BtdZYNJFVXm7Av3ZVhxCc2k/dZmdD+DvCs+rIJd0RHvEh5
H/PKb6qOUtZZwG+ulcpLUMKWHWcqwEQWHyKkuJLkm/ORg2Qr7Ac9LBOexynxwyk8xyxZCfcMbpO2
+OhGbx1jY3JjkymYpt8HklfZKt+aLkGdF+/7uP3m1MN1as8xVtAIeeyQvppxx1TIeSvIQmBAALqC
vTT6wrhk151jFgDC2gQ2CCVmTfTTcWV+BTgz+mWFyj/vX3sMPzYmS+CtQDtasStrXuZk2JmB82zk
zZPd5RizSYCErHE/ptM594Z9W7E40Yb4OYymgxr4iI7jpQ8yP8zo8vRU3rXtfG038nWM7KsiFmtX
9Jiva+yUBVuvud/1wuOwIJeXV4NY9OQNLHlDNSt9EdsMH+GFMWlSh7AZ0UZbOdwMW94T0cAzmMIC
DnPnoerVsbUkSgKlk6sbnaoAdY2m8hul5nZfxOGzPVXgXvV6b2fWdqnFtW68WDm/fRY5Z7dz9nUS
HpkrvHqs7gPCy0s3ubZsdw+gFHB7wKrKhDzoahvmdaTcMNCpuuBdb5Mjz/VGzWO+8kzvKLrptoEV
uI5Fc4x1jZG/fAt0mPX0iaLt7wPhbIDCzLsGw9Yq+//snUdX3VgXbf/L66uG0lFovM7VzYF7AYOB
jgbGoJyzfv2bh0o25c8eNV63ukVhoXS0z95rzYV/VTXHN18l0HuCCariBF/oc3RyRbqp/OpTljMp
SvJi2wd9hTM8m46gnZi560ewa0+WT28IZqPkXrTrPEPrUJjmcAEDFS6cOjBWiVM/wMAK1orqnFVJ
sBryqpKBXCRXsTta45h7oSmYYUcNlIehZHYSMyhcTQh6mEdE6deRzeFSN7LQgvWhn4aw8d++qc9+
MA790HqmBHFN8qItqhAcOJpFa/y71nMiyCzOfeUqju+s5D5xv5hi8/93CFlpfdPdnniKraTjECoN
A3z6XXkGc/fzY3wAK/1xGpaKl0IzLGF8OA1d7yZiv6LgrA585e3zjGpl/ERD+OeH+TA8fj+MoGhl
H2JBF/2YmxogWTHspA/OHYTgKmb+BRFBqe46k9mxtrCamgbV/v2Y/1lrTG7ST7YS4XPTPv9zriN/
688dBFpPSE4Ev+uIv4nN/VbraZDoiX3X5Cd/kDX+dBFrv2mOSQwrnVQsr++biz92EMhAwUgTHfYe
P8Kvi38jThfGP13EKNzpKaM3QO3JPuf7Jx+0HLtMoGxEa9pMO0zydTVzuKekDTZtpZzLkA9ew5qT
pKCK6gkm6oQ4zpk1UOGj81p0cjkC+ZdAbM+1ioai4RJnEYCscIytk3Zrq/VpLmhbevWrjMjLxcB6
AuHqsREtbldGlAbrdzNWz6AUT1PbvdpwagbXWLVKQKGgladqNF+YSfBNdBlWNAUUjyjrtnFZb2vX
PTRUR4Uu1rNOfp9RE84l+qOlF3c2colBDzsKUDPahLP+nIKdYTv1EKq9WNu+T7p8lU2bWkuRWyLG
w87X7MXIbsHxy0OrU4kZ8SoJ41u/b0tvBEm+QiDLKEvaTJ1yPViZus344w4GswEPdhKdq1zLF0pm
n10j/YppttxMOp7oKIDIoEz+J9K039KyG5dqPiBba+JTQvdtGeFowXNKqHpY2sIDgDnRZnNWWGIB
V7XU20N614pawXaCtMkprkOyA4mucvdo8YOFLdqTm+ufqrDb6O14jUZCWXWyDGLl2aiz86YpsizX
8+sxzLOF6biPcazdTE2pQIMqbJT0RuZNlvFpzqJH+sxLsJPUrQ5jMSOKjiYo8rhS3yB3Wdt4JtVE
j7pphUcaSb9vXHdt+DmM+fsD4h0xFaC5t8h5YphGXGlumIDZu9ciTnYKk58hIAZTRphNrYY0ENkb
5E4yu303ZyIXPhAScjPWpIgWTsmg3eg2QYCLt8oRs7UTSXMDulXUX7CQmH2YG8gxxF85EhHDfW9I
hiSIZKFm5aPWRcc2jo515EY7JdDYXlgtuCYdX6zbTLqXKQbEzraEN1LQO3OPFc6BXao0tKOb6EqN
i8cqrmihp+wcuqhejgTTWYC+FkMPal9L+22lqRddpx8sBml9wrYVdLsmL+86pd8UTQ7Yu1jTl3eZ
VZInEzS9y0RgwPSRhurSUfsHipvXptfBaI6bISonai/mVrlFO3XirCb7UlRDi8Kuv3WSdE1Xspqv
2v7kK9F6Ul1Sc/KzJvKL3vtbKsCz0lH/9xMUf2xzYNDRPhfhvNTnOiUKDFemktG5tRR4ABUykiLn
H80zUXoOwDNqUYQMmdq/wYtKlmNmwOKSagIjab6MMd/6wnmzkZXuCmJ9PL9z3Y2Wi12oUTbN0Olr
3NgGeNHcHTfU/cFKjAZ9YjtkAKU4iFXYZQTMVveFn8TrrDe/doLSsmMIVxj9A26Wl9ke4lXR0McP
jOEydbFsJlq9N7VWu2I5IoWNylOvD3qQtgfWHkkAKG2GYxUU1jxrdyJHgLE2KP/FHXGnjrMJzZr9
ljmVvEtVjhjbHut55XTBqK2cXDHHRdXrhrMlL3wiHc0Qc3QFT3/qbl0109rbwa0V49CNHaNHQWrD
A/ABvT8nbbktglbzSsLrVoWZmOsoEoinMRxrdXDT+KCB22Tcm2berWulHjeOYh2EPZKjQdsJe7L1
UuHXZ/NrMcmNzYdEAWYQ9uyCNUjCe6PgYU5yiHL878w/RfFU+uYzYRb6snVi8gJnpLxu2HsG0Rb4
lgd2ceCOaKXXozcl42kqm+UYuaQOlcrJzOtrxe8OqFmf+mh4m9G2DCNTh0aj6xCUAlSvMe4p3YU6
UNjb5XOUFDeWjDtpdSmqRstAJs9wq+rxld+4RyWeHtNQf5tRW7P8i7ekz+6xqSyVeQ8QLV6aKFX9
oL5J4DEs1JBctHE5EnEQ2ieVJvrSHYtnRnzglg12fspoeRUgfCax2ZVlJzNcPxfluaJc06rTl4Mt
UIuP3WlmQuwKuvFchRJRaYUEid32xjB71naTcEQ3gtFcU2JTQ35qk+Usgs963aBzM2NoK0rClipx
Bw4uu+eJuzWgH2N7SB1YcRFbZwA352wshxWcgGNJhuKC7kSAzts+R0N+6lIIvSOJui4djCZrtkHX
PlvuwAC4T24nOkUrfE0Itl0+ICQx3PkdMIUOmmCRFvtYSfgbu/mhq9xwzVvHnLKdC0ZrOrqFon1t
XPeOBXqtMjYGf9sycDW2oLTv2Nqgr7ZHrw/UXTUYjArKG1cUXyI+dDQ41CtTpUEgeO/63PQ3/qzJ
MMR6Fyg9n4R2CBa6cEm6TJKdi7CBrhN0YUevNo0AqB2ZzTmJuguVyBpd8H2faVtQvKFndjoPYGeS
eqhm/UrVnAoXqG9vgA1AmO7jAj5fv8kVRdtYqPl2LRfUw717VqEEUfq2+y5nLFxZ7t5uxruUBBC6
VHwEWbLWSjQHIIG1Q0pcoscANmCkmKeHQNMvlsbcXmnKatHmarabdXzyKETw6huVj1DC2JlmdAH7
da+oyKmVHD0aixwLnBi2c6bzSgjnouNCJY7LyJZWMb6QOPjZENW5ybFUmMbLSAJj2cDSSIIHbADW
siUQ3M/KB7VwtoZZ3w4I1oxYodkCkUtNwwO65+cAv29n669ugoG4ixDd29XCbVWY3nIRR3rCWh96
/5Xd74Iq2cn+32X36TX/Wrz80BYqf/Gvylv/jXxpnI4QTC2gI/zor969+Zv6npKAoUqFowpS98/K
W7JXEQoD/oETimeCYcCfvXvy/QSWrT9yHP5F357mOVX1d0xfVVbbRAiiVsbqpX3YC9o0rZxMD5Qz
Ay6vayPNU8351R/wgiQiBYFjqGuBBKCe5IMF2bS+cdFfXet2rzC7tGFx3ASBS6fY1SZj2TVaTeBu
ZE8vQkF+Y8EhYdM/mZu4ohEJYYYZusy0RqoEgdShpB/rwdmwd4cHUiruGnfVA41v9SWoUnSF+liu
i9CmSMPtxrqA0gdk3bgybGj+WKjqJ8xZGisRa+QMcG4/5PY+jok6GMgmFSGmqaZTNp3efSH0QV30
FUV5Sm264LO9QmN/Io3CXWRYqwHs9VdOTvcwqynjXQlfqacJ3WJOnnmdjBBNHIwxE5B0J9Dnhe7X
5Wo2hiUlbnOJG9QsWMbSx94R062mfWbdYhlWUKtWQbhEG3cdz22Orlg7TVRy5P5FZ+qrlyYaQNFC
wTNb1KZOL1jfnXHetIRb7XOM/4hdonGXTAwIGlHRVKLzSC7TqBZcM4JpuS0K0S/YxUTgUj4WhtdG
JoC7RiySvhivZye2N3mDWWHs1XNRhuHWTWgk0rvjl5J5jtZs/3PySI0cxH9MA3Fb+4QJzLotKfkj
so/GsaEMxmE424Rilf4tabblpo/jUl3xYOe7vO77DfzDaO9binPC/4mpoXV9Iu755fyk0Yq6xrHK
x5meWZhbz0GdwdBrGJOQJvKY4Mdd+W35prpZ5rHjOqY+agsnns6pmhTkUWRv4Szobwftmf7x5GV4
rT2zdhLPzRN6C721q/vK3hNvrnkQWW5xhHCbsmxjMsdhDup42ig6mDLToLvSKTTwB7R6J1HB/aCb
p16Uyp62hacVRmpcQI1iuKvVKUD0OgrD0xtYeSWt3iOWLwY9PGhnomAZkFeiOlhmUSyVoiC1l6IH
mk63IQfzKe3tZauOGpyVsdkPlLCLtA+0tQBNdZVgU1Qy96sO3dSKs+ui47OsGKemtPE26kp5NWFd
2uEaYQpRzEg5aNpkrUg/qbHvrxzntaWZHaU2Qzf7OIWFu2LTuqlQfVnFvOacz8iKjiLLngidPQgt
OmbQs5AMCP+UO5RiGLcMyl3Ac9MYEIeCfDdGPFZxk5zQ3pdDhG8G09dCT5znAKQqmZnReexh7Y05
ynKl7TOEK5WnWenObcUKSs5zVjuLoUjQzTlvlh2xtGTrekaOkBBlj8VoHejqTdkMJFvFhBGZJBuM
3qCxowpbAbloTO+cVD3rZneH5xyPGz5L6+wDDSWidn4rK+1GzN3OhqlvMKKjS2yASqCrryRe3PfP
IRobTIQrwMBkHPCtbZL8xin0r27CO5ylxisu0RuT4m6ZVeVpYramJCabJsPL4g7+MiyKIOthc5HN
hAHpZZ6mT4N8HrUk3mFevMzFeM4kV5mcKX8stpglPRZS4q+Fep3l49VE7rA+T7vc75YKwqWQgGIk
i1vbUr2sJOikGdeKUEdWoujFwnWeKuVW6VwvCW2c28WZNCpnlYM8JBYV3WEXXPQ2XUZ9sB2RS2WF
cuz7aY0l4RmVPM35kXCw7I1+nOfXAHJc1fPb9LVOXwu/uxkxaMeOijQFk+GQP4jKXjaYZsEZrPK2
Zlynn6G73TaggEzAnSIYb8zR/ZTGs75007RZFIO6yeBLAPjgCcTzxDhmTav3Db7hFSvceiIZowmd
peWwuQyacGdo0xaG+4OqtftZOLeWVT44YXMjM+C6DEhF+VqpRAiQ0rewDanDLNeNPy0TzCwhuQyB
EV7TRDkVvXGj+xlNA2rOmlnkYMPGUreK22+dhoI0TG9jURxbwNDAF0Fdu83CEuXKV4j5VLs1r+JV
4zprzWj2kOo4YLVivDF6Y96QjswYwDT1l6ErHvinzPXoY/YkQsvjTaqW7BQ9Ammfm7zxckc5QHrc
zYq9KiZIX8Q24wXgI8HApvLccGIaZtk0PfrPqCKfWsKYp9Lewa1ZlaA+vKKtt7kjduqIp3cW7FXj
/mGo1c9FHd8U1Km+Oa4jv+PauasAY6TdCp5Oe9OL/jov0kM546dTuts0srfO6J8Bk+5yM9v3vsbO
PnIWeUf2RTpdSl/d8YIhiHSu49o9Gtr4WFoSXqt2nu46d35tXTd1c84bcdONgQptubnthFj2JQ7i
ekalKdJjKgJiSit1MaTBqZYL1Vw8TElLsSk2ZUloTTt4kvvaDLLoIRCuzO/qctpDszsouhmeFV/1
vwRArG4biCferLf7WkUNTWJ4j9NYUeKvWDLv4jazdzroF/Z47aMp+KibTNWI4cbk+NXKaE+11UNS
hzumBmfW22il1slGG5oDe2Pey9ROvFnVHkPRlGvXSD5ldUte75hsEkO7xIlD94yGYF4Mxlp37K2f
WIg4lWwVMUjpiY6D6Rl42qQvkxRhcEjqfYBuyh/3Yz59LRWMuE383NYCvXaOjBjNOMgeGzMLE9FQ
yT2FCiFpoUdg/FuOOGx7KLg93T0mPpugt9e0lVZ5IQVtiCxpOszrEUTY1AaHuhWfCoFBFAail5MN
1UZ0FsNB2ecYk0qVoDuGurVW0AtqT7MyPDZ1+YJdZhXEjev5KRMtk8ZKpvL5+6ak/fXQAw8YEwJk
/baJo991xQe6Y4tdHFVArpzVbBvFyaJAJMtA7+cH+UeIxftBLA0otElpq38w+kdKplrC1JTz6Hyp
h83QPY7FW4DGu/+VkORHBS8Whr+O9CHEovCLSZt9jqQTDGZKyy+BXvOuQFbZPUWF9fvO6H/qVj6M
jH6/erxNhCSYGr33DyemO0XnIDQLLr3y1HaHKnjJ05efX7sfnRHVMsWyxM5gVvy+ce5b9qi6Uxle
AADEw6abplUKPDALEDUzcWt/EQPzgzOiu8qmBUGPqf9jCNbnVqNPahtdIviFkUHwgVS9/OKcvhcU
SeMhd/ubg3wYgzW+0pJUyEFiaDRtfYRx8ovp1K9OQ/78m0Fb387kAGCTudTlyRoI9y4++Xb0i4N8
GIH94zQ+3JoymZKyz5roMirGAi2wG11oNLPAPYrIs5qzTvvl5w/Dj06L9Gr8oAIjDtyO708riWjq
5jjrL3Z1zaQUVfDO/pdj0PezMuAQmBbDUB3h1/fH8IVBR7Cv40vehKvMQndVeMwDfn4iP7p0oGYx
nRI1Ls2n3x+kGELbjiJmn3X5mFtHOfyJWQxc/zbuDib80cG//vkR5TP1YSvMEvf3ET/cLJAIZIJq
U3xRR4VI4M8GBdTPj6B9f3fkcE1oNgmN0rqEjk1u97996JrChNAxatklPtY78ty87gRbbCWuwxvh
YQBYk121/vkxvz/k72/St2f14ZBhr5I2UvbxpbcatslglGi06cX250f58bVjOK7y5RS/m7a+eZsQ
3lt2m6nxxa+wI2gHx2l/ce3k1f94d0xNPm1M4clt/fBgl40eaVNDKjO6ksXk6FSbTxGTL3QrvziX
H12xb49kfH+T2BEXNVPK+KKJ19C5Fv5tNf9iefvxIQQOOwnXAcHz/SEiPJqOOQfJJc/PsC7R3usL
vbN+8VH90SvEw/bXUT7c+qTukSMh67tEyQuuB99QVoTLiqTzCJdRkk0qfnGP/nFaOohFiIjvmlKN
7v/3p6W7Php5u0gvbb+panh9q2q++ZcP2odD0Ev79g3KiTk0rJAp8UBHXlOwC8XiF5ftH8/y+yEg
PCJZIProfVD9zbMcjyNSPXZalyZ9UeYdBrFfHOAfjzIHwDsgeE9ovOlCftC/OQBLpz1o0nVOnZd1
wkN9GaGByt3X92v1nxhC55b9pCtb/IjTJ3/nz4YsHFFqTK680NkF01z9uyGL+9UiQFdlf2GR2Ca4
d380ZA26rhryagQt3DWDJ/3vhqxNuC73EWkQ+Vb82r/COhiuXGH+XusErX9GbeTaopoBoIdP8PsH
pJlZgzrRWVeBQYg5M1HGFfQe8ZwsGWD2M4nNfqf3zM+B2qJt9u2CjiIj7VUXxe8dFDU9OV2kZnJG
wzECwhImxWQ/TNgk+8o2x1NhzFi1iVpo6Sx8HrpMKZezGpAJu0hsxS13DRNKHBC9sMZrsKUgYEKF
WQYOdLyzY/5Zh1Dg0bjetjlmgqbpW0aW0i0Z1cymA6VZ+536Kc71U52DsC6yeAke6iafImx86F8X
BbqGssgOeeUftWG8Z/pP2oqNircsM7SouzQL2D4HDGiRGGPIsVHqpiPpCREJGrjHSXvvx/lzZrsX
TSXlS6ZUK11DVBHxPgs+v0SCZM6+Zvumj+24jLr+oaWNt9ACPLuRiq6umC5EjEyIJ3rLszq38+Ck
tp5hz+OSCWi6VKd8Xk2CXR98x5UqOsbhnYZP3+m/MqU9pOiVvY6GLNBA7es4EhPaiQbcTbWNkCd7
hPkeGWWVXlTX952YMi+ucF51rMI9CeLIJY1b9OXryu70tZ/4SAAyRJG1X+4oFlAdmsVVrBc3VTV4
LK+HCJpqSKbgondIELarFarQL4yRwSiGPSMiWtxpskxDItR7HFYmTqtaWq5yHxswjWp8cWmRrB1p
zUJscMqkWSuRti2chxtU4J8ZiZEPIa1dhjR5Ed1+GW2CM0y39TSsYH3HKLhS68+BdInNiThM2Mba
YFxZ0kcWI7BJ8vgGufmRgIxlIh1nlvSe+dKFVko/Wo3/B3yZe1GlV82pjNdCutc06WMTGNqEdLaF
aMRzI7mj3rgn3WNRlNVZCUu6MtIkZ77b5fDNxWl2D2GL4K1w0anGoyqddXYsNv2Q3o6JQPAvpXSy
dRe++/GkM2+WHr2ypE1mSN9eOAyfcxtPZoylb8Tap2HxMxs0FgGmP3QY57gR6CHoHIv2yyjdgQ2p
jl5nMzLF6bMspIfQwEzox8gwCukvLKYAPSiOwwrrYWfNjzQenyrpScRpFyMexacIr1XDTNvd9dLD
qEk3Y4GtUVGKvWq7z/m731E6H3UskJT760haIrFGKkZxISNloHIwbtHeOUuHVGvkSwRwYayM7JKx
IFbLMUoZQ9j5JseESX7NuE2wZXbSn6mEODVz6dk0pHuzxcaJzgNRQ0NIXCo9ni5yjyXBk5tA+j8j
K1ln0hHqS28olhP43dhF02Y6a9hHa+kjLTCUlhhLaamF+1p6TS1tfE0i9yaWLlQLah19GpypzTy9
DX1GbLB0rfoBFE0KS6gp0tOaSncr5vpby094dFRDWuGhORVlhHsJVIdnFuE2CcZnK8Q225Iqthot
99SJ6gQW/zWhGbzEiQxfjpmJJ1ob34T6Vg/mIShw1s7FY25j5KCO2NlGMnjlqCFPrVBaQdjEe2/R
+dTNXdBmwWKOWUo0PT6h1d9Pc7iBU36wXZ2emn/I0ngXttWtHyJ5GN1mmQ/1keykMwaUT6UTYhCe
AAWga7UOLusiayOtNaDqDPA7CWQvPufkKXn24PLOkpAh/KFeDQEq4agf7t2m7WBdKbzTOY36PEoe
R6M1eB3HdQL+bZE5RkGog56tkyn8rA+vQw3D1RZxtMonk6Cn7HFE1LTRXBqGeANWfl/c1zGhRTDx
73WTAjfApTwlNv04g65kU7y4uvk01+pbr/EwlLn1qay5YYOJnFek4Ga0IK/WVWZf+jhZBXAMFkqA
dixN+yua7zecKrO68DxnJrWmWTle0IMAnFP7aDNyXYaOuusKEg473xl35oBDp/QfQtvFXZNGrxmh
rwvfJA9Ho8KT8bd3yKlRb9kjaTVj3dPZ/a9Kep9dy93n/66Sjs8J5eRHEIj8nT+rJOBXBqU8aWoo
QAFcfTu2RjCKWlRDBm2AuzD50Z9VEtkyFC5USTY/VKmK/q6SnN/gaMF0x9FiEfEm/lX6J3CRj1US
SlELnBB+MBXvm/2hjHaZoxrktIlz0qfBQQmyyr8d4YBUW0uPEiyoJngl2wy8yhH40tN0Z9awFESn
iC1Tt2KXTTrptYPqMvFMHXUtIwoWJm/Pwsi0oyPIhhjA7CySIN8rbixOtgydHFOIFFkA/pPmtTs7
ryLuSYWeQBcQ2zJnnhUC3xmHQ5yna8WhZwE4t7tp+2an96P1lNIZxlcRuhjJ4k2qFtuZNPFBD24q
Le+WKuk1S+CIPfED9badtSu3cV9tnwAMwznPlbNjobyNHNKqi+ZBCZzywNz2UIXuDk9atNPc4UE6
URwlvM10cYchHyCy46InhYJ8qzXBI/2jneGUq1j1Hw03fe6g7y5wNsMKaPthQ8wVf7OJ0NJAK1bX
CNnswj1UEqeV1PohadKrKmUixeTrVGXmcx2253bO31ouNFKTwpuLgT26X0IBTmwPlv0WozeVFCJH
QDELd85p6uvxnV0afIDtCY+78uDU4fU0MCIJ23jXBay6ld3MK5fZSuHkhJNqvkV/k9CHoXrkK7ZJ
CoXmiVHP62AC+xmU4UuTke82lZpY8r3bWEq0TwPX2GSOfpWXROoMbRouZSFW+qG5Muq3jjSxrZVY
LoKwCp8GKWlIlN+Y0zICdN1zlXZk8ESEnfd29cmpHeWouOk2EfV1GjRbt6/h/IOTR7JpeyLIE1wi
wfREzbh3AvOrjS2SjzyUI4LEH01yJ0VgPmFQuq4c5VNfY/8vMRHVbfgGZXRaF0PirpAmXWU2JCW8
F4va1Bov7obX0cGIgfsPj1EZrGO9e5lCOiE4FdZ2n7xMtBoIU6mJstPBmXzp2fccRyGY4WcMdzat
owlEFAIlBudvbbNJwwvii4h5Y5/VExK69/l+xmqwZEvC1J9vOEF+8orPfHkIN2lxeLQRqkkpGvCl
fiCXSoIJScHMywAfCpUBbI7hupTKg3HQ94YRG56JKMGQ6gSS9pRzHFCl07IuVjjjJfxbChoSbVJX
plQ5ZO96hwoVgSM1ELZUQxQRIXFTiExM7fv10GYvjhqcK7yJCxapk9EhtcPfdj01drBs0viqsthJ
6NrnQSoxak1JHnOYwQu9ypoLc7ClJpUbTssDWVsGSmdGwr2JvoRtA6A4EKQU+6g/Mh2Soy0VIdrQ
9TjDTNxpqEVsZCMJ8pFE6kg6qShBNaku9Kj5UiM20Qx2LD3yk9zC38a8Y4/OVOzZdDjL4l2t4uT1
ky4VLCInp7aTqhYzImo4l0oXSeMF4Yb6ZW5n9aVCEBNnmb92IW8SsodaJp9HVqWEpL4ik6oaoMab
PsHUqUmlTeRb2WI2/QMyvg3G+auIN8ob5m4fu/V1OHDWKjIwLSgOSHY2Uea3q8JlbBrP9YkcDccb
Q9AohtNxh+aUmixZt3E4rbM8w+8emYQFUkEUjjg4ARzwoQSfIpJHta83ndLczknfUw6wCQwpZnIt
OYFSC9ZTR1pGZNcbvyy3Vtcw3vFDGGNFtwQFzwsLJkk/OWP2ielYekRAesm5ohiFIneVFYJo2Eol
A6z9PFn5ejBL4sGc17HQtUVaZPs2GcZVoI0b2zJv/6sQ3isEk+7G/64Qbov0+UedFPlbf9UIGoks
QLYsRAsfE8L130zVoovGmMDAz/FNjeCQyEJcK50XbOsSE/5tjUChQSFI7opOlxef+7+Qt2nO9y1Q
OikM1mV+gkrSrAUmU7bivmm1mU4GRKbTp7PTBvXFjlHyR1ppPxSpqe+nIUkegW7Ya6ft1dMwsTuB
oR8uMW3M97Y7tLehWqTYjbXoQDyJv7KVlic6AtHBRPwqTUP31BuafxSCN4u0Dn6/d1Rz2c2tQ+xz
OW4VLBGjPldAecKWDa6RvES+SgpyPvjyi8gCWDbjUxaGwR4447wwlTZe6rnKHslxSuwi072rV16Y
Gs+Tn9n7DofPui2U4ZCzR1/VBbqZEZUV+A71DK2zwBaQIIiy+JxBhNwali6TuIy2XqjIz1AMx/Fr
OWmDed3muOnmOUA+Xz6GY+CvZr/3oqTcxwU6WZoMyU6f3QHXo61fAi0gmXXaR51Rr80yvxZFpa4i
tVU2rRXM+znojH0YqvYqNdIDNLFmB5nSXRJgYoKZyM1Vr+v+1tJ6ZxGJgPzVjKaFX/TXc007o0wZ
p1OazURIEXOSOBBQAvcqNrCr9BNXR+mU8CYaSobCkaadG7SEy8keShRLzb7T4ydC20eUPSjs4GcC
6oYRFAbV3MqOTrhCyFsvUwUgi29p25jM1EkBbD4KNGttQptp7srnvgji09iar0oC6pz5Gd5HweZ6
wFIEi/PWMuzrzOb7lYzjRu/Te530bPdIZwQBmZ6e+0q7FLpzrwaNjSEk2gEq24w6Wyy7Eiu/5DiW
lSAo6s3g1DRYHOw8OzSG9ipE0a0ba7jtQ1IVGvTaXqLCtMoyqEyBuyWOeNMb4hiP7gkywSbUAGPO
aUBKn29dyAxfz0F0zmY+lBZSK9eUW1cxnQQGgzJR7vgAkXQ7mgfCxvlJ5z9lev3FGHCFuqHzQtdt
U4jprnJJwBp9EFVF2ZAGkutTdlUlgr4MLr/uxQQz4mmGwCwNhOwI/AWfsk3g3FGzSKRfdBNC8tJF
P2MTmnYMqMR3/y3Gvy/G9JN/thjnRfb8zw2b7EL/tRjLDZvNXg1nrhzNsxhKyc3//T+KphssuWyV
sK6qdJbx6v21YXN+I2oLg5VJ2oMhMGx+txgzaOPfepcts5n7N4sxxpTvNmxyFEkgKdtGB+GyweDj
Q1s7ycu0TNQYVd/7AyTks2TIp6qOu1VvJmTgZn6yVXwSC2LNvfdbCjEfY9lSCPtLm6W3Nr7Vha7q
S8TA6sIvoy+dou6avjomShx4NaGFCzKel77Vt2tUP0+DTe3b6GiEsqraUTGSDhCdjVbZZazdTTLB
M0Q/A4i08noaQwu7cbZ5FK/mgcqPMM12sAiHUOZLYnVg9qLhRjfaR4wcCslf+fWUwMArSuWTEkIJ
8CGlL6oowvJugdh5SKPpaQhUQrFEfNPUYM/rqvGAQhzQ6aSreM43U1HoJ7U0z2E0mwtVI8JLlFd9
3h2cxv9ausMh0q0nHRfbtTnSkAlyH0AF5oNAVx6HWqyg1mrP9YRBb0iQQDf1faSrXwOUaxRmRuVZ
aXo32gqmJrYpRepuk8Q5TWkQrjTOwVeTUzSXz01cNOveh8o4TG3mhXoFmgNIoT+G1aKGtMC38Qxw
+gk/PuwQm72FU21aMykWiHVlM1pbO02AF5ztuE4RTZT0ths01Ztm9z62oDwO4jT0MI9ap/caJ77G
BU70aT4enWY+Do2jroAzPkQhCsxer+gwu8l91bAxIXb9QczDYWCFARSQvRVOfWLvHxzpj1+5oRku
8xaSf9PRn271beO7GEWr4JOe1ju1DCVBq3X3g0X4MgOTr3lg3wb+tCGddKSwpKsna0jgb68jReVM
cWlRZPLftrmsOs3ecfB0UomGcYvkQdamFKnWsZAVq2tj3pA1LGGkIe6Z5i3Tqm1MmWvx1fFaWfny
P560rlqVRYffSFbHPWWyRrkcUzabk7ZxZR1dUlCDKna9tigIWKLY7mTVXVF+m7IO5+O8mmRlzhje
8RKK9fK9apf1Oxa3jU5BnwhznZLQgVy2vjaTYR/L2j+sp6uazQDQ4UM7CzLI3hX6XVDUn8O8lQFE
UsFvSTG/jugUYb8jRf5q6VY3BDSi/NfGaM1wYQ2fBFOA7r/Rfn31BRKJsMBuqyI7s/PxvrHqL23C
nrksimu+WxukYtdgJnfQOoSHmXhZjiQhGTZwvFSt145orzQjNTk5QC+2rdDCjrdFOyIApQsIGM+e
0fM2xMRF2bIFPmZY0/NoQTkZxyfHp8pypztuNDu2WCFLXTnmVbgJE1Cv7IctBMhBnC6hZm7jbFon
DpqlEfw2tNS9UbaftaoGvAH4R8/GdZ9JeX8UH/8fe2eyHDeyZdtfKas50uDoMahBRSBaMhjsSWkC
I0USfd86vv4t531SSlc3yyznmcOUSFEhwP00e69NqluGSQ5e2ezuJiyJRV3wD/LYt+lOzsMW6jRN
83BINNJvs9INZNEFceI/FykCua6NAX/4IsBHCaSocAaWJIRAUDFiEf3WQYDWmfnK2SWDkwLJrOXJ
GtLD1ELZKgwdG+E08W9rg9YY9kPXfhva8ZzOSPBT615PIlxwsr1cMvg7ll1urIy3UMcw3BBMuxWZ
fmcP4XsD05TlXXHoiYJad+64FxEOLa0B6w2VFqrYCKcnWaWJ7a3IAFzH1nCa3PJi1kq8SiQOWJH3
JTdJCXa8/UAp0pKh4rvDdeKMT7pRH5RSFW22u8nSnPNvLjWgbdWtObAnSpb2bOkRy7t0T7buqk7G
q9BZ7nEWgkfpb0JjODJwhzhioyL3ZbAsoCaddmNq4oD7cAzYyi2cwubWt/sLvVy2XmmNax90SFPr
inILPc8YvpoJ9M+J1uQAKeJakJxQR9GNWLxL35PjelnwpDrLdNSdbI1pLl5ndZRuCi3xD2Zkk9US
z9dmrrEBk9fI+D5Ib8V7Wgcdzs6OcQ/uSfLDJhIXZV9f9673MCdDvC5se1jPhY03IjXy5wxRcRDV
40faDWCZ9Md8KA/4MC5jvxtXEDBuB1TUBshuO5IIRkV9Fc/ztkmXh0zgJLHH7JETeNOV9k2rhdUq
0v0vmtM+zc18MRUxNvahcNdm7a17gc8rYwo022f0qheMLTjGLXlAeUMZLcJGWnviXrNHomunLBBY
wLfagkjXm71NricHDOAgh6eCKPkqfrNGcwjgBQPOBb3rL8tZsLjZUC5EQWQQl9IiIgzN5sPtqUn9
Pjv1CWDYAfR9gN74qUqN66owbrHdT+RtWKs57r7Blcbx4B8ZlJw7h9xFg/OrdUl1Adb0MEvtsZ4r
4jDITZxKM6jzRAA5ms5jxnbTWjxw6NT5+ZAONy1+6Y0NEmBvlTrlczgWM0tVc4z/lW/4l0rNTynm
L1t314G7oxvs/xF9ML/+tVfsGk9Y0jchR94Vq2d7O143a7xAa//l/rY7QYLZVOt+n1zaO1wL+2ob
M8zbp6d490+B+1ngKuXwXxe49+/xy38qcNVX/ShwFenOMGwmCqSCfSLgfipwWUToKCZYw3/ODb4X
uHAqLJuYDA+yhfsJJ/+zwPXh46k8Rt3/HDawYvgb0wakfL8UuEwbEN/aQv1ZPi2m4xq/PkFlznOV
82OcRz/OuoCUsofI1vepChMaSBUSvbWsbeV5DckAmlX0EK8OKGLSiHobOXqNEnsbpfLe06pmN6QF
jk2R5Cs4wJuUXKPIUAlHy2fakeNUgxaYZCB1EBtvJTxbHC9OeImq2Tmksxs4jWGua3dsTzQAA94w
I97OrnjtCZ7Xw6Hf11N51X7mMJEcnW0wMQPinm8wzjo3jYptijICnPQcunPrMVTEN8cUDvjkSvo1
pjl+Km/Otmk0aHuhYqFSFRCF8ORNlMY8BN2IsaovcRM5Kic+UuFSvYmoIQsJnAoNPHCzCqHq0V7u
XZELhvyY1VTcdevCCIKx0bKXJAy7NZW115xOOTnZKXnZM7nZfVso/63x0udEajsqXLvqRxsjLlYK
u1vDtboYNZ2byzHhkxYN2NdY0KkPLUZ7qrP2M8Lb0xQf9M4n2xvGiHewm+W6nTIZUK48mY37rSIP
vOHoQH8fH4VnX5NXeR+Naj00tWRa+B9tbR10ssXtbuoCoyNuHB61u6vz6jmd8qNDIvmcEk0uySif
VVj50PvbhPRyG9FXreLMhUWdmqqI89LhY2FFzARWZaAnCWaXTOWiGwSkewSlZzqJ6ZPKTs9Le94w
YZooYyFILF335IzdF88BVQEKdJNFSC9klMTIgJvHSiW0FyqrffYc5uTEt1cqguuTX5CMJAkTmElC
Bakd68garmsFPNAV+gAvyDer7p+ZTbwVUWltQ1O81QqXAIKwP5YhEW8KpQDmatw6Cq+wNB0rHh7X
3aDrCfBAxWFIFJKhtswDJid/h+80XZtexYuAR0xCcrAgOpgK7eCHEwTjtAOx6nQfzBgwEOooZ3j3
a1bS4CESTIh4SxnFQ13Bns87ggcr5wICLBEizzEVagIOPr4Lis7Ym88mNAoDKgWFytnJvINGZTAY
h6IIwunk8z07q7+rFdjCgXCRFc6T6xfkweGansxUBiE0jEzgj1V0jLJ/dhUuo5qZq1Vp7W8612/X
ld/7qz4tt1VWnwyDTHRQzR38jayJLnuqyL2AzJFAyTMgdVgDBGpW/zztM16y3GBppOdfYkAftgNp
xNEn95A27qXhF1cJUJBc0UE8xQmpsmxhlAQ7JIqhiIASSQ4DYBEDwIgANJIr4oin2CMOEBJ2mk8D
Th9D0UlixobBrIgldmzZARp4FGOKZ6IN/S4iW3DlO4QXaoxKJyd8WhQFpamh8SyAURZFSKEfwL2C
Fa0GoBIu7XujiCpc8azsoEkzNUOipLgrPh8rHh+UCSBZ+om2wlSUFrpkK8hGtlAZCBec0RcWSJck
JjdxVpSXHNyLDvZlccz7EPjKulVEmKYnfQBM4i06vC8iBDSBOu7GUBwZyr0Pxx92vSLMNKUXboxu
vGmBz4RAaMa4O+mfVBpCcqDvg6xzi5sccM3sJtoxRrqeKKaN3s9HB8jNGOVwXWbDRqmVE11XTtkm
V1ScRY9P0AYxvjH7Agqdf0RLeE8QLntmoSKgFV9njtO3tqY2qyDv6IrBw/DUWJcOXJ4pgkbdg+px
FUxgaZYbqSg+muL5ZH50NxPQMijQD8I43y9GxqztEbFgzC0Qs8dWfCCTPnadO+TVQJR/LoAI9ZH+
0nRzwqARvpAHaMgZigcD8NDikjrDEmVjjdZWeZrHyrvAwr1Pu5DASh4i1kLgfG2ARtIV3xZRn+yI
M3sGeeSAPiLL9Z3669SDRFpAp7iKkdTJYY1o/wtbWQjmOCBncEphpmNVCzd61GMf5CFgacbJXRN9
xNaLUUkOQ9G9JxXptCA7yXoOysR0MDDnClQJy78H7SRMODRz559bH/aCYU0U0i2hGjnBTK7CFoyG
xqavvSGihubBXYCTyuiFu7NlSRiTOBjLagMllxgNT/N2mmsbu7Zrn5NM3Nkl0ecMth+E239JM2gz
LecCg3mARblbC04QsOWG92qiTNm1fkuvWb0C1K4AG1VvXbjQUKViDMrYXK7KLLWDsG6uufOYyPBr
E5l+vU+jhLGEUl2rNn4xvJFvhxTRbd7MuDynqd9hug7pLskaF8AgV1Yk461f+SPc1d5ahemA67rn
BAs9+yoGeBnUdQLDKQGwP0R7aTPLdjknSTcHX1XeyQpNUqKlXzO3/mZPNAnK6kxYyY46QglFxzuh
7NCNMkZjWzzUfcxVXFoYVZV9OhGLhL0jurO/WEGEgTRTZmuvmM7o3EBY48PWzYQyGGc2SQeQT/Bq
T1gVN1qDe5q4LQLt8QrXkfasK4t3i9eb07zD+W0x8IkTy9bW+QB+Aw6h31xVeV4xRGgTPYpoP5tx
gdzhN/HlP3X0Zx1tUFb+dR19em+/vb/9PihWX/WjjoYtYcOWsE3AblTS/NKPOlr8wTDYsSClodKh
Ov5zUPx7js8PIIXzh2uxyUOMY1qokf2/tbUzfu/EPITP+OU818cxR1LYr3W0qRmT6JssOwvd6tsj
25VaRxBXWNqTR9AX5Y7TEowxgMK6ES5VggGCpS328+Ggh+T2lhWrZwz4vfeIpx3iVzLes3BsL/SZ
R+85jHBfOj1iDYltb1104VlmsHfslBjf2oA4lEzFbZXJ86whaPVd4yVETL622+yi1pfr0oHz7obt
I6OSXW3jsh+8+XHRpzendm9rk4EY7OJ6H800kcDRyFHzb0gz/xir1iB3osBBL3RnU0999hBGxbVm
gTruwQivs1mcvSq8mQp6eUey8I6IToeR4e1HB1VBkU17BVu16hnldiWZm6e01lXVjBusVOm+Rsy5
8VuklHYVOpuiiZ+HrOmD0q45EbIQGFqtiy2Hkdq2meBvJ6eP97AyI1D50K9RSdC1cxFr+Z5tnhpR
oaXthMgvEFtFt27vzlSZbbSq4AGvuHfsc+Jxw1GCiCspwU7MlnEdl6AQyg7xo9O4/a5N0m4bVwW4
z7HgjzZS7yn0m35fGuYSoGQhqW8UXAJzFkIkFW15Q4NiXnh1i++18CWz5Y7IuuRouZojDn4GV2Nr
UD+N0s3Eq2hMtq4kBrpNSks+sokKvTToUfDGSD84ZZetbhc3qN+J9yDUBk1Um73n1fDEfPWy0vUo
IFRll/fcia5tE26nnTrN4EEqAGORkwGn7lgb7RdDyy7TKVFjLIKXonja9OzPLC4ClPbE5s1MoePe
za7tVCbGBgmViZzHjtPlxEackiCbNlmt0tgseNPINg9DERJ6FiIMZa7pbYol+rbMmE5C4otX7NKK
bYUiZGWD2F6jYPsGd6NVV3a2ZrMI2TieN4PoCWuWD1whcyD70oYSMKZrKZnEI0q76oncBe1mV3tk
cpTjXrSZE34neqFVjNHcxT7KvtEmaMH2szX9JGkURMQF+qxfuTY49Ky14ePVWXfUQTk5yQxFzAbc
keTgq/TC+OrMcG5DWd2xcsHCLSdcySUppw0LRT9RwjDujVXnuu9FGL3lFWM73q51n0qAd9i6Bpv5
kUQQL/QB/F8ni00lWOdg1/a3Ho8+u5EoKPW2R2dn9xjZtM/AoiR1q+xYdn11/8/98a/7gzP9r++P
q/fx5e0/LBoNvurn+wOZBjYmg62vaaC8/Pn+8HQdazDEIk7xn/wzKEMNh92jYyAPVV/+8xxGJxJV
HfeegXr0b5FEEZf8+xjGVTMd6LZcRfyBaqP5s+gjHJLatMNEnmErm9Lt18SSo5Tv/Yd5MaaVLg2I
WEZ56S35rSetV1nn2trFB7GakFmsZNLpK7UxItv9bOoorGfNeWWic8oH/3FZmgfyFj9w/W8bzalX
CW7evC5qGjOHLOdp2elGcQlkgB1BOPrQdcyrSWfagETMWjVwgx3OdEKNGKgwrV0jimDAY9jPWe4+
RnJ5JeGrXMNO30/N8JAl/XXrW1eJF4odBvC7IpsfKvK/rsIRZOE0MovRugvhpcyjy3FbzBV/5wX+
IOHNHkGXHtWl44esIEl+ibWnoU4o5UAKGf5V7kXbhcFDULoMb3hdscITNklNtm08ynZSe2Cwije8
IOcuE84qShp5twBNTcbQXIu6o9GfiW9JzWStOVZNNailG1+zvxRLhsB+Cl0OGj0/ulXiB80EqlUj
qBu1AaS7aQxy6pDAlxatqr8gvBvuHMAnMPLsR7YDLGEiDA93LB0i+urBJuSMMxLm54OYJvITAC01
SMiaXo+JfKLsvppZODigVqLcCsJqKXAkJZeeg1Svkzs9n/fLNDqbASoMQa/RbtbZKXyqekPQIZZL
QCdMofcarW+ud/4Kl/jXxeIEw/M+reJweOjL8msCVCUk4cXKgeNZ3UEOw8XcuunaSct9ZZDpEGe1
jTlnPPl6VawzaV5wlT5JyzkWdZ2xPSARS9jNg1UAQymsW0Hu3FRPh4GBCTF4IdahECtTEu6xWDON
acwLUpQIKtdgiUiNbokYgEdtBLLjNNp28g3QXOhqlHXDC6fD4qOaQX/EgigqA38kTn5s6l2S0GLr
LhWMEQKjBEyhYTxt2+FxyfOn3DY+KpPPjGX4s+5Vl2WYPcA4+UIQ1vUcI9mfew9rz/LctQqciAcj
nFN0LlZBtE1/LAaXpzldnkcmCkAwX3qZbGjALrC6kIddf4Gw2wchJHglbWlWeZvfD1b7EHfsgOqB
uB/dzS7AbG1qGtFV735pqBCY1jknNMi3CzIi3QyJmdJmuj7oT8Pw1faiWwP3iivKs2nZ57nWfd6x
xcBzRRHQOCV7svHKMEHhl2+ZgqaOhCx1U7irkkkFb1mYd2zJUsvmggz5PxOBBr3bPS9DN6+ptV4K
8u2hFWYEPXTWETwv4s5R3jsLm3BmTuikW/e+LKMLNGFfFi8+5f58YxroQHWynvzGfwsVmNdnQ+cw
6RuHggcwVGCdeROmBvpx2JDJKO55jJ/dHvG1CKurPnFuOt988wne26TadF2FVDtFJ6w1dhk3iEMy
KHInBuPat2JlEy51LTP/NiP+cBXLujmEY6xv0PlO29LxX+ewf8ny5jok4wMjmR0G3aTjNpMNIrLU
vqi9zrpeTHpmWcVUX2OT3tWl+BZKEz5qtjwsVXVpLtGrKAXD7EHuSZ7VNmxJr2Jq21VXxx0sIo9k
iozc7ZoYlcGNM4LVasWravxVDRR05fgu972dI5aw2GEKF7KxQFMmDnHc37YRbb0+mQdnsa7mQbuo
Cv6WSdYEdK06URGaFeBoDtK4YNLhWsE/V/7nla/c8n995d+9fAPIhRXkP2UQ/dw2CmCFXOA/zB2/
XPtoi5Aefbd9/Nk2YpslfhASKlMXTM/KpoEeoo//579x1ILktOgpQL6QafT31i/YcH+/95XUk1ZM
B9f0m6/aTMeyg8rF4AI3B3DQpN6yJkw3NWaKwp17jrusM1ezbY1fCBq8QHjp7xzdc1ew85I1CW5d
EJaeAGjoMFa3SVOQpbt29ES70PvlxQ6N5cof+neUKB2UNRYZdR7eESLinMoR+6EczWZbz2Nz5Qh0
/1H82NMfTESCbRPfOxa9ccRT+0FCzOMUF0fXyjAYtEjljL2fYBYjHg3nRWHWhImQWbGQTBJwRQFp
9gf8G7bznrrWw+RoX7NRe0dNA5xKzUfZJM0UysUbA0KWKzrxMfo4BHRRShVEODShXa8yBqeEh1Aw
9xlBKQJ7DAZZPcZFdWM4EbS4lmm0tIZ1MxBMQoLREJ2i5AAd7rbpnJOZh+8LGwFZQj+tp4D+6Qow
6naZ06eioc8wwm9xad+PNpMpPf2QkTrWcuPGA6LIUmjRmax2D5WGBlUOTDyHPM63c88smSjpJmgd
0ktwowW9O1l79EBsBwiW2+jl4JI8xOYM3eey7siM3hCr2gXk9pDPxLUBNHtH75fe2iI3gpn7YJVK
JoYiscfAroDptU1GCh3VEqF+omYM1t5W3UzUhVbpu2HuDrYukqA1cTegxLD3Q+jL7LGMNDc6Gd1S
PGH/JNs8BxXHxzcu0Ncdtt1zMm1K2/vo/Hg/x+M57ttsbRZd7576sO/8ry1kqjfcla6GjxLtVWKJ
cGt3jji7hCqtuwW/cWRIwrLJmj0Vi5E8eJP3SMzhjHDX/5olMwHYYw0n0iLvR6sH7B3Su/fL6WAW
8LfacNjlxGDsWyEetCEkxJLjczOHSMvGiXa9sNiRuUTogZWlAqO3glo/nmbmpPc8AS5gYhf7SpPP
16VEgeANU30fNeNrh0vowsXlQFUTv9cihtxlYdJIfHGlMaLoVzrgikKzBX7cfti3Q9jujdbJ7xqn
QQlbueV9Zsg+qAX7p9Gq7ysPOV3vaKhPF+B6aJNnhxkMYRcpiiCEy30lz8hpwzXkfHb8St5sJ8Z0
0SvJs8TWcOyl/oI6dd3E0yOVew2uEqE0cNw0iCxfrozZ0ljs+NNXfCuE2S5NGCReX+6wZWffMlLK
9vkw4ehpvGM2EdQ4KqF226vRZ7sg/waS2t5MStIdR6Z38kZ51TElo07QcGlWCW9mMbZb+Htz0Btl
d9I8RIMdohtwqfOy+ec++ryPVKj3X99HX6BN/z7AVF/zowHFdsDSnruD3DkfcPRPNxG2AxpMrgAs
Cahgub++WxO9P3xDETeUvkOwrKcv/PMmgjKk3Apk6/GbuKT+hhCAXf9vN5EHHokLzwddRFvLD/Fz
B9q3E+Y/I53PdQ8nsebBZ1x43xs4YFL1TiyirO4p+fKz0RfFXafeHU0XqL1Ak60FL1aE3QCegmVe
YbDQN32O6kW66btJktO6V+9mzEvqq7e1Uu9tpt5gH9jlGjmmu/aHsMLAPp5a9cb3vPpjEsMOjxrA
SepcQAxW7gbAw5sIcmDAfO+hUOdIjuJrl+KZq20YhBw1UcOZM6vTx1HnUK5OJIujSdOdae9zWJXq
1GrU+RWrk4zo1WGNq3xmBZ4b50R4Ia9L7++RfinFksHwsyCkeqpdPwDY4O/rUh0HEaaMDkOABV0V
hmFxObCuz3xErjaSh74a1n5lEzQb10d9sDaZG4GdjcZj1moEX3mPfJqnCqLESu8rDA+swFZlFn+1
Rwu5oD9Dr6yesPg9KYQ3KMYI60GU3PUWKjn0X87KLAVXfcSVspBgpDnFO8O9HEeYc3RaMkwxOMJk
t9N022t2tI1DuofSXvDM54T3OfVdpYVXVi5fPcKbTaK7+JuYb6HsrglvGC9B/iufH5dgM3lXYMjZ
8oTLlV3xT9rXc9DIiZ2z+WqY7dMyZd+0sGaxHMfHLJ/P9NEMnGuQpEKBaLXJONgUYixV5i6YIv/M
mJ8pR6GEX+hS5wLBqmviJhfxlzpabizLIi0DWqU2L6CtyoxmmhXm2vGazDuTXpuar0oXJQ9ujw7E
xcCqfVpZWyIDArL40L669ruGEjUZPGslNImoDi9sqFyx+pgfR+WTdZVj1sA6ayoPba4SA0JdxEFk
e8lO2lCTG0GPqi0ktNo2bFWvLVEZZt8aA8MB80a5SQg42FSpv9V1RGpOtvAhJ1140GTXEIyKnHPi
BV/rPKlmVN/mZTnzZFsH3JFEf5O9eF/GYYeB3NqLCtNoa6cTC0OnIN104gJjAGvK8F1KY59Q4R0y
275v+xBtRdmv3cxcu65/hXkxJ/XWRvc5YbJ3c+cAv9U6u72k4/Pafs2dRoIgo4kxq0AV9PYlLIYa
CrH013jrjm0+JEchseVauThgZuRfqfdxhDx3IjxrU7SdFjz81pTs+qYF9egX7a6TbArZBgZek7/G
ub31qppXndekVs4WMMZf6bGO8E/qQ6ZBvEA1J84xKu8gVN4YxjbRkYBurlQvvBobiAmp7yANZrSS
U5+uTEbviObnGykw2cumxoMjFw85L74cvemhOkAo28koxLWj/Dt1U15EytEjlbeHbJWFUD2h7Szl
/Kma+sbR2JIumII0PXqutcK8NlLqGk4/klUSy18zCDlqTMIi5S5ysBk1mIY/OoxHfsxrfONiRlo+
bUnlp0Xpn/vzXyNcmqi/vj/P7UsZvf9+g6o57fcbFAQSxAaD7+aqDkzt+b6PcIX3B0M922Ba6+EH
cbCRfL9BzT/QfTooDoDZc4ni4P9xg5p/oMlTujy+rXKf/C2vCMu3f7tBXVaJfH9fSfMQE3x6SX4y
7jWOkAif9JBFjCDjY8kzPNSDH15oc6NflG5HoIimy+GrlcbHJJRfvIjmoHbTb+Zoi0CbWIXvoSMR
C9GYeooPoKnR6ia4RPAAVI9RS5z5Gih/RwA34xII14ljKMtE+2LlYfLeD3pIsV3ayqOKdaJEAFIy
79rGMJYaLuTO4IVurXHbtLxmR3g6lIkYSjoVQUO8ao0AJrUx6s5t+6F50cyMBlOWnYTjKjYYCnkC
LI2i1mgmBx5EcGKcZIQYp4W4O4hzvVQXna2flmW6EeZyGY++YrhdWlV+EFF8mMmQJT+IEJ1FaPYa
0TQZzp0VX9aWs9Nr7TplhnNbh95FX8cMJyPGyqRAi8uyq9q1gTh4Ix1SH9taSwO3Gc5z3521bPZW
U6SCXSymwVU1bRAHOfQ+Tq8BMTJl+5GZ/R3q/TvdwcqyHnHcXWtNtpxMC31ZU2/JqoifKyTlLvmp
IamEsGkJWzUrXO5dlK6N2o02RsXB4w9Mf83iTnPsaUsYe8/+DqF02xY7UDSUBiQQsOSaV+HiOoEh
yvg8RhPj0TodsL53237WyIIhldB3IBDrkkhMf8BMaIh1kmgnEhi3o4PkTw619dChyWckhQCQOdVW
z9khMbhfz8OCyrB26y92OHCDCc1PuHaMqFt3EsX/T6/i9b/0xP9FfXJdJWXf/c9/U7X+xPbyLCpC
dKgEMRDFZuie82+77VSPJz3zsfgbesx8Ip+Ml1jyOU0yK/8/6/YfAJz+f0qJ/5fY+vI/nH/qq36c
f2yjVDChIqXCgtN/7iBQRzBD4j/aC//TRvf9/KODUOcSsOIfwomfOgg1G3OxQ5MSyQH6dzoI8ckA
/EWMzsqcvsGEAsfPKbDe/dJBRC26y9T08rMmmi9R0k90zfmrkPYhF9ziKTr5rh0YrzOIhyy94Iby
ZXM1eRwx4VQ0hyIhWxUKG7J7wGLIkLc6pLFJIcc84ENE9chLvQ8DRyMSLRH9I0v8ep1DK4sVtmzU
2n2edS+FM0erQVhvIQ6oNVc86bP2fDFDP8sGVEpepssAwdXGkShvhYKl6QN2fpId5sDwWIa7CqrG
5MDB1wRorYS4Zkgo40R2XAwKxiaj/tlUi+uulG+V7hyBZkLVmiGARCMwtwJ9nU1U8KqE80Yg0tOo
wG+pQsDFsTah3QILlypA3KJQcYWCxrkh9o5+KxVMrkE8uzLgyy1xdOpxuNTI62L+TqtKoegI47md
kizg/C02GbS6UBj3ocz77ZjTRNDijbjOmJhho4X/Be+uMAmoDb36yVMoPAcF2hAxpWmS6A5Qf/1V
b6ZHuVgMLrzuXJswk3JBaEMKEhN63yEpsx3WZ3YzbLRW1kRROZhIaOPQO8WR8Wg2DCmHZDqzUXM2
WTYQlWYv0WZhjQ6PzFfkl+HW1OI3Ow+r3YQZRAxZdlE5L/38UvsS2aDz0kmz2g2tvsvZdoGAQzD8
yFVa3uU6Lsz3JFrepjm+XUx0v+5QV4iMkcN5L60gRYvnG7FWqe/n3qjORhv6Zwve+VEynLH8YVNO
rrPvW3A5xGclWId8eWWmi5uskoqAv9x2n6aSQPakiE/mXL03i5IEVpGPmdDxcLn/U+d91nmAJP+P
Ou/ypevey9/rPPVVP51zZGLoLOlNgh9+tUzgplD/m/nEp5/iz0mJ9Zn6aZIQq1MI6rAa/qzzsEzo
rPXZ8POLal3/98653yYlRNCyN8A1ATbWsnxK1J8nJePgz4R4O9NZTmbnbmK0++lqcHGEkRjAVtdQ
jsWMgGBJqkf2KAZBtrbQvaQ/1AvX9Dw6S3bZSX9aNimlwrLJprqsmHKU5CqRoTUhls+Zky4bCBAw
aKK5Ze4oIv/D11WOnuy6rt0yCbVC8JTLwlCiJtCFHbIWauTWOiT9kL+XTVrCFFpY84ptNBl9hCaR
14epukA46jGy71nQonZX2X7tGFn2Qy7wSm5dODCJITiYkAAjL8P9sZ9NMgQ/JtObMXt4zASiCOnZ
hosFFGE2wzoIvfw1CUsn8KNJgCqo5bjR8tZBPYXDAi0CI/YC8dZot/braHfEty+FuUNDpsUru4ms
nS3jD2fSIAiU3gdDCmSpBQecW/NrFHzIZ8ahVZv46SKO6u7CU9SbKCEvKe8bBLGtVr7qLrJwQ/RZ
GxQQCQjCAUU32KwmqM71PT0x64pwKl+ElyNHX6roWLdafm2pqpZQD39HYOZ75i72zszNiLHLaO26
qie5oSsduFpuurHsIb/O9KFbN751KOqRExzWJdFMFeJSz3yPO63aI73jscAVwW1gNVAvIhbZjvYK
USHaO0s+UMpXhCpSartTGO5qsk5XbpGOzEdaauqcPnpXVUV39G0dvoYWpyd+ZjTklVMxCgZ7MaR6
wFAFJo87yRvfD/F5+VWx6YbYZnpUZPCiLGrjARtuubT8mJ75nJcZ29EmjdiiUzPjW1C6OKUfr0GU
D5WZ7kTuNDeRbIh4jKb+xk3Qui1SNAT7SZkdusrIt4vuzxu6jGnVWTN9inAHld/XbMK5zPYCe+u6
QfG+/+fY/Dw2LY6yv26P717K/uW/1u2w/H50qq/8fnQSmAzKDsad5/gI79Qh+L1FVmg8EODQa37U
gd9LRJdUZDRHMMpJTaYY5ED7XiI6kBbQ3XougBtL6BzTf2fIrObfP3USfCdmzKZn03QzylY/yq9H
px9qFT2dV5/LGXG4kE4bwCAxghw2b4JhamOkCAM6g51Unrl0iXZ/aGyBChVSaFUU03FSJpkC4EjQ
68M+ImqFWavNZq8ySWEd0u1AWGTqpq9T2KIEosJheMg+Ke/HEuoHxmGtlv513BQPdst8s5lMIsiy
5VJmaBEjSHB68hSm5n1BKMHZFaG2rmYxUdzQABKIlRyLPH4KGQGC0vJvPMCdGMKMd6G1wxbAwXRf
Nv4eo91FWs9yq88lESwznDxWvBWmcgItQSVgSbOana13CILs+bJw2zskJUxbZXXqbHfBqmLuMt2P
EU503yRLRDZG0bhxUVaszSTcoWq6o4LBzGTRSFrAA9o2OWBM+CpE7JJGOl2NUUM1u6ikJ4iWw1zs
8b6KYM6GOMhbtVddbsOIuCNbE3w0QzJe5Akk2MKGUFAnR99Dw0DU7Wbptbc0zQkfaxqX0yfZTcuU
8Ha7BGmNGbPVmItmoG8dcu/ajNDKmqS54n9FEdObtylKmKp7I1fkw+XbDZKPLGGSt45F9xJj02ZB
ShlmuT3ROSg3TMUbgwG0qvKR3W1ukTshu71X+beSfMzrphBkWqfzRm9EvUkAvQQsV4zdYhj31uKy
MB39wNPsh5rZ5rEZ032GRAVrYXild8ilvDDbhkl+wal+PYVV0OdUnBMGqJneXtjJk2911q6cGZaE
XRGTJNVsl8Ql0kg+G1WxtcrxKyVwfSjM8XZkNoyZZ3rnT543s5m/j24jzmy2EbMJeZ3OqNrCLD75
gxZeQlh7FW3IeqMVxiHBiPA1Jup6A0nZtzey5PjUF3D3NkaPdKyv4JCSZhZV3c3MoQsmlcYDMF3d
YOhxvDev9qbjSD/ihS6hwPO+N8OttIn3M8P2i2/hHbdkubeymj+CC7cmyqud4MsONh+xF4U7rYiX
B7OuBFQ6OWEBce+8xrnohXzP4wYrdmbfEmkXXTjLSBArsqR4CgSu7U3moHJG6vWWLrX//9g7k+3G
jbTbvsudwyvQA1P2FElRVK+cYElKCT0Cfff0d0farspMu7KW/3EN3UgUSQARcb5z9tm30v06uqwk
pjc3Kxvk6UrqzaWtYP4G9YmojbeiBaG8ki7UaVAkmGytNW5YZQ3yuoU+TvwEBW2LYginTaIHdHwH
N1k9dSsrb8W5jzq5dDqAiGRaDpVRiPUsnGoXctTQCLjAN74aEoOETmC8JCVHL6JmLcFSTZxI6Ngf
QgTpvRRWuct6j0i+nkV0Ov5vdfp9U8+S8J9Xp9Pr14/6b/y3Oj/158oEpJ7WUB77WGV9RUH9bmUS
6Bo2hHqMqQbJCv7Tv1cml+kFOWg4QIhQ32/qyW84EFnRHBy0VqXr/oOVyXJYGX9amRjC4OyDHYTT
F1n4x5WJSebUGK0e0teXb9wJnnnbKG/5VEPAyJ44SC9K7LirOZ6ulIFlW+ThCS/+Tuj6h6X10NV9
ahHMoaGnOzuMEv/q7CengjaTlU7xchHHHMqlR613nj0KHykgiH16zOPyXe9wA7Red91yKu/1/sXJ
aI6DVWwbLXSgMPri+NlK64fwsTY6scPleAjzIVi6AXYR/my56br4WtJJRbGy8UKpcrGqYjb+jWmx
neRUjmsl+OyH5sPMGBLNTGPXHiHQZV7HdzKNLmNYvBIHedRoxEOZDPsl3V6cTJgM2Y5mk2qN+AQo
i8MPL988O3mP3JqQgCAVNfAWybyl66bUb7QMJDm9a7KcDwmK6japbbFqYoN0AT01hcnDP85aYPTt
iL/Y8raOVYKXaYb3oEka5JwuXqSRxw4zsqdVJpJ7rIs3cTfTny5aqHQmXOYh9++aPFjluX5pIFiD
VLfylebPhyjzr6J2hNIfCSDVUUNFab8P9VJ1UUKicTwIabKzQcnHDazwSMwPTSqBnUibMoIWT2xY
tuYVKZ8EX+D4ldPPdBX2ETHagshFkyfe1hw8bU2I8uhUzMos4pFTFwSXSVMxnoqg9BRSF+dnOaWC
Wuwsi66ILtLRaNlECondjUyqL5Mo520TmuqwF4HDDulyKktr4xZ1tbcCDl1OERCVrOa16xYuVQH5
O37EfKmrB22m4WHNCtUDngdf4I/vnbAuT3FaTit+6cTaH2+SmGGj4NEdB3q7Vj1YV4ZR3dI3DfjH
6MdVMpKR8DrXZmlEJqphpy15pIJvEeaibDqmrpqFDpQWijglXerUDFD0k3cC/soqOzofddnLNSOP
62IAgsVkmFSSlYyrsI+zTRlOFJhqzh0BxC+9m6pMe6M4gW62a7EzLZtwuNOmoNkH0fROn1tBTDxQ
56yCFH/Xcxn7LuQX5qLMJa2dltsvfmK8kffbuhq+W2PE0EIPBJ+zV6FMFVTqVm+TT9UqiVUKI4vG
dy5QC1t8sLMJJnHBxRuvR0UdN4ePDAj5CEpoQ1OoZDrN8HRizDkpZrk75C8kuXHYecA+AkU2r+zp
cQxhnTuKej7G9KArDrqU0HFg2pD1gpE+AEvH1szgUvHTicE6B2UNx9yOYW6yi/sZ3HrtlMdO8dc7
WXzGANkNM9oXhneAxniZAbbPhCQNAO6RFp2EIrrLiTOblXUcOWvrVkinxy4HAR6GzsFTTHgXOLz8
RolP+cP9cAe358D599OBFwk4TD2arLUkhHsltenVQAVkj4KxvhoRa+Opd67iuYUoH45BRyN42z5R
RNDLzRiVeNkirZZ35tA1j3Ich5cxMMqUwHfT1zuQNvaXMJX2VduUWXiThVlIdXmlWV8CgHrBKaEo
cJtjs10xEHvSI1RCezS4NALV7a5SYJZM+/WgkmED193aVmkxrsKXzup2c8oZH5byLlLJMldlzOiW
x6hM7MwD/zIWiLZzPs+kyvObzAnTh06l1fIy5vGUkvnpiLIhUF9qB3g1kza8WQ07gYmwt8v21PTb
r/nUP1YqGcddvPWIyuEKAVBEeM634kOXTvayLMUrVClKA4rhnBC40wedPBBwil1FqQbXmorlCWM5
kcki7ENmr0AMSfeFNHoeXMWrK3tGgwa1h65DfjxN3gxv4Gkw0tBgbIqKqd7s2TRqWtyHGfqFq6X3
YjwWvVzl6c6DiFjM27ijvL73ziG71U0/JZ+OGV3NebsPCvbPbhavdaDIC90r+nXWY3QEQneXz+aI
BZunX43eTE1F6S0myGmLhLR1K0cybVa+NXuhL/OBY73hVLdxYiMu1e5RpYZlg25aDQp2AAm6ioxr
K6JCwg61jV3XzZJC5Uf4FaB1qmvNwYCOMP6Ep/09GZxoSz3uYQChgwWxpXBzfrIrD8khPk82eQOj
da7KAMtIl5QYT1UNqPdFmJgwTDRYwr7sUDtsGoUZm0t76hfFRL+k7d5RrEE3imF9OD1z/WHmYWt6
7SEBl7QA5U2JyDRuaqe+sloahLuYGsi4dvc+JTYLKLF0TQMe0+I7+nJfq442T0SPtJ2OvdQeU5Ov
WnhoN51sedwQVdHDj8T3d/Yg91Ljvwal99n2ydey0Q+58T+uzv+De28qiu4v95OSivq/Ch3qh77b
TvoEbX1m9/hc/R/cdDrwHEiNLkN4hw0dY/o/tpNoxGgcAB1/lzkULekPneObegyIkmoAOtIZrf2j
URiDs582k5YKAju+rmPrQ61GofleIa5kxdUWJdFNhTPX21XflFjbPetIfMQXw28ybfq7ZtuVKGns
j5SYy8m4BTD3TeQdvgm+g9fskDXN4BWnUAJvEKyrduBNN8GVTlW4vg5nTQtvQFkxuGCNjDjgwlkd
8ePN9pzBSiHUroTFwjXZW06ciiC5YG2fEBs6lIakhg28c3msI5IktqLZubW9q5jaJMsib8j0VkNW
n0NWHuRBc4JzEnqsPovUc9hbtJ32Ycd++/vM+X9zYIU4/dVRqo7/bjzCD/156X/ruHC5xP8Wmcqt
xc4UF4pufINU/3mS8n5jYszlbXnChxjGBf7ntW+6v0EJ82kVM23Hwpj6j659oJU/X/wu4qNPbsJS
fwW/8MeLn0oc9D9NzGczjx4roDbLbJqKRVFW1Uqf8w36Ag3Icm9P1D2N/iN9VkDyO7wque/cJ551
MmW7B0u4rnovaFaum0P2jzGNPWTS1+FaikuoFZRRsgfwV3gZtTf88+wQim+INTfoMZ7a38hrisHW
KBpbrrhsQhHaZOfcDSmzaIzSZ98G4DQqnFuE8lUBeJsAvUmAbyangYVQDDhRs7UGChfF3hW5EJLf
zXtNMRWAkIEqRyrhwcmxIj4afQNfrmVRCUDO9SUiZhcUn5Oi0UVg6QLFpzMUqc42xjMK0GuVsU+2
v9HswNpVim/XioCVFOxdKODfcYih6Yo2NEyiGsC8YZTaklKBg965Z6hUyw603kz4GM+iC98R6p5u
9Ie6L58ihePDKA+JxLyk2G1bO39MY4rYahB+2H3J+cP00wPQBKX8NIS+6uv41u/UYczMj2WY7/V8
ekzBA2qy/xQ1pzGhTe6S1Ax4SNLaC01LW6yo6a5qMNqYkbMkiYVCY1DXbZeRdzaYAjEzIBXZt4yT
IwmY26+TlUwgLOVMftYeVCCMSmQUsEa/RxN2QCrYt22QCIL6Ou3lBou1ueu6+hxkmC9NmhxOUVVX
tA86WGa3ZLo5S9tZvgcYvoRQDfqF0JwpCfhHxEstqrxTM1ngStWYX3PmKcbX0JF4DtmGgZctEJ4G
crQ0GkSm9ipq/D51j8ysY67UaTKBtICvng927Ymm2xhd5ByzwdyVSaF0W8LqRpvTTIC3N8S5mazm
uttF1LwtG4feqax3Vx4H1W2hxe2GYnLnuos99hPWHsfiI8yLneiMx6FHNA2jRqzaxtCvKWRIjowF
WS6w5awjG3IBsF4qxcfEIomvBduJxujrcjSNS2yoo1nab330LWpdrvKUZqaxMl491kg6MKb4DDZ5
WPrAVicv33Rtg45HwfnSHoq3qZEbo4+fZaiRDW7pSIr4PpNsys5wlhf4p/+ZowgjPOwNyiR1CpnR
d9T09/sFsjTHPs00Xz9n+UNqfcVaMeT7756bN//VtKRegsXeoQ6IGbIAsPzjS0xlODb446xz2rx1
6c1U3hf+/3Atv2/PrF+uUXeQqj/qv+7P1E/9a5FiE4ahCMHPpJryW6XSvwZR7MIAbbNC6DqDdGWT
/HOR8hlRYV7ymBH90Un5r0VKRfIsR6iYvs50C/7LP5D7wHf/ZZFSfk8co5ZiypC8//Hq6I3C4HTq
T2fqmpqN0LJi3VgC505qekF1IMk1cizubQ1mdlCUVC51d4L0ku2lHOSAyy3iSNjHsRirRZ/QTNmR
s7XYXLLYmc3G0Fv/2sG/vyNZV14ManQWjNK1A2E3yCSJfPZnPVlqtngvKoawejRf8phHUjBIhL5S
OZ9D9zx7GZ1KshdwCN10GcuBWYOHt6jj9MvmzLikppbtezzfqzyw16KO7J3mcnK2TSQVPe0KDzGv
sJdxmd6yZ/0Y0upOki8vczCANeNoqIvaeBX6UMPm1i/PogPdjb3Ir/gtARRoNhTDyjIgI45FBnfO
P1FEuqhMg6BB2F9EOj/mXfngJ9UhjpovgmBbUub8sfMAQsxLjpZN0q8DpT2X3ldCBCmMjxQXFusU
XifVmjdUS0BuRICdceMTyUsjs1nYnoTXT2ZRq06FUT4nwBAXLm18yzjKKZyzp7c5Nq51qoHWg1fe
xgTol6QCKu+mMT1t2mqdIutGvF4gGJZXtVx5eo2tSG4NFB7hD1tDtIdOAYjr+WP2PKCtbk8Pls3p
HBwN/aATLLKuKZcWBJxl7Q3lziflshgM66nsshM0mnBVWeW6Hw171UwfgYt53SgVviF8Zdfz2bkh
zY6pXazgaDLxFC0tp5lxE9STs3AdhIwyKS9RPb96FU9sHbAXvRnSWdY4+lng5L432sckkZdO5IKZ
BnETjwbJudqw4tUIzkRidOcyDuFTWwC4bPPmENaA7noNH7HncLl6DeOkOA1J9EwUR7pZARY2b/CS
hWC448qnWiohyRFWS0KTh2Dw6tUEnW3V2vErylkI+Uu+uqPJ6jqicjRaMO+CFuA3MKAUGdRiLUeW
Bncyl6vRCi3Gl+GdG7hcUwz0dkaeEy4kvNGpGEegAh2xinZQpUIX6XBxyHxwPAlY2oiBkDU85o6x
c1RApCcpMhZNQw0GNCM30vdCxUkcFSyxVcQkIWsiR21fy7Ze0I7yzkbvKSGVUpJOSdRyr4fkYmwd
amiYo1V71/1gi3Wiwi2BirkA6rkxyb1Q9wizuIx2JomYIfGvR6O4i1VUJiczk0FsIAdCjAb5MEHX
pDmiDZyXRlYXQ6VuwGh/JCqHMxnBdu6gmhkqo9OotI5PbEeq/I5Jp9taK9OngmiPXqOmO4R9apF8
oXcJtobKAZUqERRL89QREUqICulEhjw/F4yf7bVDmChQqaJOGSJVzighcNQSPHITeZQ1+NXBJSqB
A/q5nY0WJZW8Uq+SS823DBND90XV+NbZSKWnrSoV9/y28v7v6GawSvzi6CYLlsWP6a8Lo/q5fy2M
4jeOTFSoUwnPWU0Fwr9fGDH2ugBgnD8cbH8ujM5vPgsmszC6ib+TLUz7N06Bvgu9zOXQp5bZf7Aq
0nb486qI4kUAkHEa2yYCDiQsvt+W5WVmyUn3nOvcnPtNCQJ1JYX74sJekm73hEj3kM6XAEQpMtna
qLxL14YPQTbzTDddwL3EtatiOjnHJNTezSF9yDV6VXSzBkJfF29MZClFG8J9mScwNwsOOJ3c2EzE
lxEA3yWHkC9a0ZdvelvECxJpw5q7MmASlCD4At8MwvqqGCIQ8Gb0lNvwPib/ZdZaJihevRzi6nVK
0osfma+1oz+PPdhRpx1PKHRyOUERXZVVcug6Dpx2LvunSXhfgJTGh4KmvrU+UKUnyuQh7bIvYnLn
PY00+wAv18bx5t1cGV/6Jr8GKLycHBf47pas17ryJWirZHjoovjFi7XdIORTU2vhlWuUK7+xlnnR
X+uJ2LCnBfYSX1vdTCUsyXV0ma+ybM90WzMccIZrPx5wscTG3pKbhGQBiWdYO3dhdardTdmmL5UR
VQv+xC1AGUVkUzgaWtBaym0o+zG8h8AKFnCEG9BrPkSegcU40I5OLgcaCrBGBHG3HiQRCx6ySOHz
xmKuRx4iI+uYfa01pvut0UDYwoVbO3OER7i7mTx/RweKAxO3L7ZRYX60cWxdZQWvx76hsUNaEt36
TcwTq4NwjpE3r2STvI4OuFumS8ehJYZZ+td5aa2cBMMas4zjEKruKHfl2pjaWmt0GPYxniHaUi1C
oAhLZ+j1RZZaCFNuA4M2puYjdjGOTDFNA22OMt+6r3ap7RmytZuuMVjqAcEZxnTB7dssXVjBTmXS
NEhXikWypNBp9I745rTSfLARuas8I66PbepYQfHPPHkqk/ELAsJj1DRvZeVxShqmYDWDrgaa2wEo
q9G806Td91MrVwB/nrqY3d2MZVXtTC4BczQcKOMOp6bc1ABfsc6RvE/l3jRiYuMu4FdOi7Iszxad
RKkjtkAAxDKP8kXZe5AGMvOOnpUvGRVerT6c5MzwYG6LKyZQR0EJqJHTlpGJcu/13lvShHs/Cpmi
siNzvOZ+aOK7stMeYunsRSGvutr6kI6zT+kf1ETxpWiyByclVJvNw9Ey6wM59lPXc5Iv0/FC+mg7
BvHR6hwmDcOu9OVer6nFBdFfhdEVMRuspdCByox6k0bciMjKNsRRaERunweXws3Gmil9bs/skLDv
zO5V7Ru3dlwe0hiAcDrBd85ookh6g76F+sTW9lyU/XsTT4C4Q+Oukc0Thb0HkkunLrJo+phuC5ER
V+emT7No4wzxU5i6WzuUu9yJvT0zNbpLcLvEbnsyC1/Vp5iA88I9LUGXXOsD2gkoJOvqfe+LZzHC
8wFbTMmG0d0OkX2krQJ2hcuepJjzZ/TRndvRJEzs2WC3suzAg5qZ82X2/O2ggc/zKZGO+5eCcz5x
p88ZXjJTbdqtmuA5Fhw7Fu6sFfmtETMXzLwhM0hGUmIyjaZ5xeB2XkMdOPhhRw9Xuh/bjn4TmMJR
FJ2tPjsEIfCvRIanAQg1+ILirY/BbIPvvdaEv62kf10DcwWcO5JeEjomKP0x1rvjqFtPZqqh6iR3
s/oKMeO9lbRHSgz1nP/ZS2hPo+jPpq5fi5R5kOMyvJ2GV0NDEovLkA7RiiRDy3dR6/am6MJ4W3nE
OE3zNPl5u2jjepfKZEs10kDlhP5Ipv2qojIiihj8Ntqlj+F1GNa9G3brOJ7fksy9w8cXHgu7Ktm+
BbdlXpw0pc8FNApZs/1FL52tawQLyxzsXdI61nqoR2OXjhb3cviR0l+NgC0FB4bpqOtMynS9tDci
NreUlNErmUXl0iDmunBCsWvy7rkZ4ruqwNXXhfdB3ewKjfzFqKLf5Fd5z/f0rz61VdTvR+smTdNV
InpAUA4u2Hzc2paE6hDexwIzEyiunZbNkJq9fd04lznTd3Xo89HoZ62qi0XUT5e+M+5SCIFrAfFx
5dWK8qhTKmo6pyZjvV/DHDTwvg1V/GjnccvDH4ugUQAuzjnkbaKK5G4FITz2eu7O+VjFLptD5VCE
iLirR/Z3YeHfeMrBmCsvIy0h1cJQ/kYARCNslPwNCvTacooEIMhsLyKIAqvSUMxCoh4U2gbY9Faj
8k/K3u+v2DnDGtOmz6IGJsJdvEinAhaIcmACS2QjDmCLdjmDzj98mm4EJ0mPGqxbeeJwGsrD46C3
WDkZIT8nAIpxcc+1pppm7EszUCebeXMJ0Zx6AUyYDCTX5TDT6KZrx8Gsr4jm3xgeRUFjsnYNTpFV
cBtW9aGrDFQ0s2D/TJ0nUK7nYGC/64bDutYbaovTcdtZAd7mtn3rYcjpqfdiBeapHyYWmXiVd/2m
DWAwmc19Kcj6eG70ypP1UZj1Lhiis7DpAUrMAwNjzJMR1u4YYl6jmc/lbB9IgJywB5r0d+c4WdKN
VuZXfccSzcDEWzk1NH9hr7JU3pI8h9GSz/sydI72GO84SAKewhnoDwtbinQVu4i0TmJe/CG/a9G4
ezlNq7wo7gssh8tcSw/EsPdCaCcSWku2QltjrPZtQA1RGu1DtzrgRnkC3HDIgFjVJiut6W1Sr3wP
EuIDaXgZA3YKk13ShBita0qA7ar9oCrsSCnOsuGiG8fu0PnZO3Yq4pp+sZcivqVDYU3T3dK3kmlh
5ozWR3HXpJpqJ0D0mEaqDHC8zujEQR+ufKXHdkglbaLv8s547j1rmSX6uLFB75vgV9laVAuOSxVP
9/QZJAN0VZumVfCxfso0Cl/uXiuTR1zqW0yCN6I3Iiat+v00wHZNyiepO2Jl5nALtD7+GtSyp85x
6GCVAiO0xXUQmtQQ05oVJ+XaClyQD/Ge2KO/CcPg0KczFZH2dVvqvGNcwkfH4GIJ5WBjNXI5ENGx
vA4mxztLXZI5J7OfMcCKWnHJLO2Ytci1WmhumkbjYGhH+qJuBJ7ZyXmxh2SC6EcTABrycRy9jrCu
fBrt+VJqzothJMGmjAHQ9WxfhNNt0qanYKrhXYNA3MEFR4pVfb0S6E5Yc6KEbHsqoaSmoTafNaM+
lLpy6zocuqs6p8d+JFswgXu3+CecySuMzHdhPMLTn/P94NJkPbXdca7Vqm1bz6POjZbASF3VI5gG
+nSu9TS+Tod0aSVWtHejuTlS26y0XPOJGFt4NdTBxW+yFxGX1k7d7g7gqQUs8GyT1r354kXtHQXU
F30Y46NvFogn5T4sxb2B8WKWtljEQ7cNhYR7nx6rECiRiw85tPPPzqPWwDKNNTya+7SlhgY7S9o7
7DOpL8Nm90yW4NYfqUAuSvc60UPKo5MNbO8J9SV5rDL/xRrNW4/n8ME2MZt26PUbo7Ve5tzfkwfW
lgwQim0BGO+gVfqGUgioPbQt7TAsG4umKFkdKQYQ5t2oJwbHiLrWYAVkk2Uky9R0tLWhk0VOlt+d
+P676Izi7CvjvYtTHh89E4sfD1BGLMRoGEV8TkrGE8WpmUfc2Xe/fhEljv87Z6l8+upFHB0TI90q
HCV/fJE0GGtTa5r4LKa9VpwE8RnNum+H+1+/DCfRv76My3zdUtwZLJE/vkwgsJ/XNGGcM+NzkA+a
efWPfz8jeqR5FHo+rp8/q8afHAlQNDsXAxfazgte//nv98jL6j4fFLS2n1LLwGKC2bSr/Oxx7rBv
7D/U//9YvoSZ9Zefz0/ftUVRWwSLKyZmiI16meqb2l0hhY0fWbL69Vv5m5eiOgjWqmfZBLH9n74K
mKdiHug+OItkx8wKJarE6GktWYZxvv36tdSf/dPV9cPX8pMyDlQs710aGEmBLnGn0UnDrcUzdeo3
v36hv3tT33//P72pwk182Xm/v5CJd4oS12jDOqKW4vK/XGvqj/75TeHGwDDE6ojJmEnF98KGaReG
ZOGFKGZuguy1H9d28P7rt/M3t4v73Uv8fLnNjc1eCVr2ufBek+DF0v4Pl7Map+NfYUYCB//HtwDu
zG4tDShawhPQxA06/R8eXgwxBdXXNFaRr/hpYlZoBft7R5fn2X0d3OsOy6Fo/8uz6+++dC5iHDgU
tyoU1o/vAvcqoQxvzs81G79piWVTty892KByxUj919/I37wWcSOGFbpLfgn96cfXIptMTBSG8DlS
Z+p1LGl4WbvVQrLHuv32Uv+TPG2+oP8sed5jVuEE+1fFU/3YvxRP6GZM7rh0mcT6qPbfKZ7mb873
I8I/5E7cWMyFfZd2X7wECrP5b7OK/xv/XuD7x/QFtPufUc9coa63fz8YCKRZdPV4KLHoq+A+bXVX
f8ds4Yw+OlXV5DeFXlrWqTE6TmRTFzPrg7o0GP5iHPveQ4Aq36s+/zKr6hI6FO6YvzPAcN8mZId1
SctJzXauUrUnrTJpdpZ7LVpgA1pCOQqt6tSkSApT6FKMNkbpdIuoDK81VavS91G7TAJ5bqb2q6aq
V2x/+GqpMpaIDutO1bMQGziMqrCFC/qk4cWshbRXUpW6RC0+4FYVvbhT/VWTEH7rrlaCwWbOUwjS
tMNotMREQ6svqBbeuW57XcxpRUktfTJ2NbxgZn/I2ilbJql+Z9rtc+gRp8LS4m3ZgTjnMKahhpu5
XXSqtUanvsZVPTY88pguQR9E+jhLi+BANBt3QucegzhzGQ1xlQv7w2qxldbDa4ONlpRRuqw5YIye
caj9lv/b3+Wifu5oHpejEp3S8Fk2zrOfvJkDm0vLfG98/702mnM9x0+2HN9TywOOZYp5hdXoBiYW
QGh72OURduyk1dieapDOpzS+a2Lzuiu169msArVl5EFgEMjFeprvEx3Hm61zbB2EdaPZA7EiKiUW
toaVhrj0IYmccJtonbOpwgzLSSeATY0PTqNdGUNVI3m2V56EGCYo3Son0FHMNdEIysLYTu2w9VCd
V7Wq3iyBt2xTN6qRGZjKOX3AAtQZzH3pmFm6kL3qcHgMPBdVqbtxRHcWOIyXUCGrbW0VlCYYYBRS
qu0poYcKP+ADH2b0AVHvwVnWy9rADsIsPlgOsj8QcLmO+Cr4P+u3BHCo09s3Qyj2YUKdqmMkWyuR
D3lr7Xx9LKC9Ow9tUpHODh/JxH3AH9Ho6qVIwu4ca9FXfrSBhfpcJChDocH8yS2ftK5jKNcMD5oP
F5UfJSdItnFt9undpBkTapODGUmXnzmFYoyuyxNNlefUQntvp9FYeHLA/94P69Eb5Rmrfci9UntE
AGNkXIWSb7sOya8eX9uATIFoyoCYJ9UNZpo8dekKm/MDOcOMKzB219xrK8vqQSy3brulW6FgPliX
u1E3ArYUSEflcLKQgVZ5EpsrTJMXwoQRmbtqJgpBWVnBFB9OtwMwiEnnGM4EJ+VrCrtJXWt3FsLd
RNEQiBIthMXqNmtzGlGTI3ftWfIR48Kn0AU1pa71Wc/ixW/8oxiy63Ka7gxHdxeIYxHMkWhcTHl1
G3XNa2ahfMfT3pPzlcURfVnrI7N+jiwMbS0GztOn0dRfQq07DLK9ZKWmRhkQ7Qp4jOl4Mv0eZqHA
Jk4TBeUxHUzPzo/6Zd22n4BPSJaMg0rXuq8xJA8KEJhhSo2AvMS3gBwGnrSDiAEp1uM0bz3z1KX9
ZKpRWTLnvYWEvIDzEq94IB84F4/bsOm6TTT3V21gIpjV4a0Tja8U8sIVtlJr01YNqMIQJ1NjVTsn
d1YVLeHLNhrvWruC989hLhuZMkC3NdZFYdfcdJJbwnNOGY0razkGtC2h/lhdMNJwEN5RBnKWpX/n
B9bOHImTOAVsxG7KboOShGSoV5uw9bLnGuGbiUd/1IRrQOpVN7adPGERapmyDumGx6oFujZ6Gwvc
q52FdX4ornig306W7HeVyOG5GN2lpAxsEeNJ6klSb4GF4JttTEL2jryn5+AqChxrCbzy2ET9Jbat
gmoYCPTITfB6a31dhBk/2/d3tpN4OxiMbw2Tg4UP0WGB7yRCD6q0Jb7dTyQf1ouojreeT0Jskm+O
yb1dZXThWLlHBdUYwvqCjHstQA0salk9614eLFtvglA+0WOAqEvkyMO9J3lm22UhCP0IbGatfOv8
+EmWXEhDUGwmWBILna+c6S/GgcE0YcaPItzAE+IzRbXdmyZ4TE7NcA2p2sIBSd+O1T9EU3oZWBMp
PvEkH0yTwBuwwyV8WS43T5UZJfw7ZEx8Jdo8rKjfOU2aKRVbAI6eGIaFljoPdjttwTt/taV9k4Tl
x6jz6xorecaTHCMUoT05XXFkQllR4DKfWP8hV7iFitjtW4AYhFmNbp1iPn7GOZntm5leC4MbPyvM
J22yzm3cfh2qbINa9cBiLw6xg3+Z9X/fxOHZjat7f053HJ4BLOLPW2QM0YGG0U9EhtYtpgZllAZv
4qKk6lz3PcZuucohNywr4mybSXq3epBXaxu5lEkB2e6ypJsG6E6wF/X06mhcDG3UGxscg/djAYrC
C7SrOAxf68RdhTSRL8ak3MqK0uHCLW/IvOgL6Ytwren2O6MnC2de/GIJiBlJ5dzgxnmUoNGCUvVA
hOZnIrBfmz2txIZRR1SZFoxD3Ew1XmNeEkxv10WCN0KPJ0oFZv3Fafpr30rj9VzyxdYaT+1owrWS
uMR9HS15FeCDUjrylm0cJMuqLw9xD+qeEqstQKBu2ZnKbCDSXRIS2Is9nJSipTmwMlTCI6mzteN7
X6NQI6HlhfWm102xlHnfMzqeKH2c1VPVeaKnXIeYGtjLvNLuo3p4oAWTtG/sL+WQHbtGB53R4fgI
cVSsDCu6ax0XmETW7rsQ0kYu/Aer6G7CjJYes2mVa1WD++1wP5l9uxlDCE5GWuw1dk7ckImgYpsJ
Hnmg0WA959NiCUl2FQ2VS1rOPwaM8lrpfDpCu9cQJCkjUtFxPwX4RugbKsF7P9UHn5UcJdR+b3qX
QUhXr4pQvyJnQ0fF3FvL0UmfwjxHrhtrY+l1zjLR8k0YvCHGHdkY0BNiQbXUu+SqtGudgXcCRy2W
dF/X/DcvfQk1mw71IbnXaaEjoq3duhihYWfKveUPTyN7LnpDAbq0pSzWVYuNf7K7kF6tircDBp4I
Wk2sS1q0OVC36gFnSl14WNx3n2hV0LboN1qHqbmBsP5c9ty6Ua1fspBBNtfCyXRielTtpF50aXnn
xHxHNucptpcjz+m6OI1WXZChIUDnte900jdL5LanasT1knfigZTB1Thl94ZFy8rQ8Eh1xVvfY6j2
INosmNEOK5l1xxJoTSFg9YmpaXkcCvDZTvLhszfGe0s6fSw+5ry+mn2IdpBq9ihpz3FCMtZNHsqe
uW/DLs9NefRFFVdm5A//n73z2m0j29LwqzTmvozK4WIGGEZRWbKs4JsCFVw553r6+baCW4H2OR4K
GA7QPBenuyUVi5u1117hDwikxAE32VhLuS9/mD4pnZX1N1pCzteGKOrF4XVjpSvXdWd+lK5dO7oN
6wZYa7HPGEaZeUlPgxtvkFgDulNYmGYp894QkmRF9rWvEPTTKbgNkDJyeFqPGsNnRBAHzZ/7LkVl
2R6WfbZqAoTIDHra+1WoDNPCs9ToLE5H83rIAtM+LiT80s8o4fN2NtgmBPxceupx/FODarSofl2D
Io3y134GN2sTb0L86c86VAZEQ2fWRBjlnXzoo2yKCQwUWI5FrUp76AV5A28CxpJqaeRuqvFGVgo5
UpDLTxdDRu+PsDdP3Yg3lShnNJ1KkD+6Rq6ov2tXopaS9L0+lCeDhPxjPlGRqmMcDYJyZTb4cAa6
eYQXjn9sGuXSHU3jrMA7ZTJ68rnm6udR2Txkck5W1/uM1tsD31IWMAsOI2DwUsswLlUO7VSZjSru
Uq3eYyGlHcpAvCdakxxjsLhwPYuURlpkg3SGgP43a0ivjL5GL6N4sJERKlFCjod0FTXZzId0RFTS
VobtXzI/nkq6fAab8rgBAsKM/bgXhg2O2R8CnVmKwAdZ45tBsJL4RPO47G6doD5ysXeuS+275sXL
tha2zOYCctJBqxfHru8fOxmI0JGszc+PG4YeWgYUplevoMfs+YywnWEgtchOQhTghL0n2lyzohpn
vtzeOEF16vvNkdcNU9S2lzqzJIb44AAxCHR+VKASMDbsiCNNQ8yx12QrEwDjV2HYrqTKIf2rzn1v
XEqEoCRHLCovkd4iSXD74MQzLGRFQIeEJDZVsjcO1Xli17eYiOM1kB77bnHYmsmeMTb7STnsNQXZ
oZf/sML8GGUxhnUOcn/6ueVb2HBJ+R4qfyns3u4oahixKkNxULjRWsv0cyc3pz56saQr1kkj1Yee
msxGVPnKkQGfJZ2HTr9SZPdSF3Z6wgY3ha5M3o3DrYitrlxMraQ4Cuy4AztRAPKArT4jLq0tSJPL
vOgRvTIY2PX5FehVn9Oov01BRguJKIAT8yetMreyy3AvxNMPuY+yDE/0ccQ3L2TkrC3bEscQR+n4
9nvGycKkIitofUhAc6OszvdTs2ynFWk/Ra+iHTE8a2ftQKUTIwXE3Ik5s6uN4bmqqMtIBeMJZAAb
euy3KErsOR8JnogKxVcR5hpoyiBoKww3GgvrDSI4+FvcOAJ9KGaQ5MEua2a0GIVpR5YXqOR61Te7
rHEFNJsB1CicCXug6YimmTD/cCT1QgJ6nNnaDJeGk1E1FjpuITgtks8CH0Zg9yEY9SM7rK+kjr87
KoXlCL9LEoKuCoI13jwQviRZctmRxM3yllPOhQMxxQYKgEGu36IvhJuisDjJqwJEte4cc4Aw7e7D
e0diXNjqTSIaQsUsUu0HL3e+p4P6DSLFA/fvIx8hY8guLFa0nDraF7YrCJhzdEa0rdpcQX22BPMR
IJeS7OOHe6n3AxhkeT/Ey0XP/GDRS6AycHkJRuaySVwcD25XLBJhBaMKU5gMd5gUrXlYJ1E1V/1W
o5dFztcp6TXsbFa5SOgykbmDohGoAC9dhFG/cqV4GaJqMSUruhkzYGpMVE8C2bol0b7tdXq8ZY9x
OaK4exr9CP4y3vPsklytAByTx2DiNHXpZup1DfYBhQrssysDjZymmjRmcD14GLY5kn4XuEUyMx2s
Z5r6ViIhq1RkkXtXBnroXmkQ1qcDyuojiOSpzvQdrxtVpLNwlsr8wu+0ZCaHwzAHnEY27rrXWiw3
EHldi+dLWxRiBu44HVs0iEhgM7YlqGESPE37kci4nbWuJ5zdMIcnb0auoFgBczG5t3Y/Rz2zTyD9
DzAE7ERbdT6tmLq9TGV5v+5sYFsSSsuBRNHdQOuOfPkrMusHRupfKIMlwyWgA4b0D1ljp83MXjpE
vV6BxBx9K31w90GSWzOakXHz1SefWVD0ev5UylzRp6llWiitv9LxhPHjlhJDtqUlqDycStM8QK0n
gcvfkKNEw1kuqJ2W0sdnAYSA6T/9cNIA+sVMqX6di9w0t+sNzXD+5mcSgh8VaF1k2Cyb8e07G0qT
kbHABiNVLhguP5MQ54upYRlC4xuxGwgw5CcvAm3I+wLXZQosqwrjwT/zoyK1ed8PB2JsKdBAoWUR
mt4Ts+KaENlnvXxSw1FxndRYmlBMDlSpyamjlfwM0GS2h2YX8HhsbxcZkmLTGu5LCWkSAUvaSmjo
G4eloMig6w8asDOXLeyZ2O7zoxIwXd7KCDvad0ob0VlLOsIBp9FodivHtRfgO+VZHnhL/OYw1XDQ
IyHAf+vSck8P/PSi8DwOqjy/Mzv7IIN4Uip46uiJFoD9Ku7iQahxVJThRdft9YhI0GgR5nCMBpdK
qNPo1aA4mJ0zrx+95DrJRT8Kf7kYo7kBwzmkMu/cBFEGnEFQuRxwpbMZjE2KTDqvYzsGcwpAKhEu
drFWGvjHWtbMJW+YguWIaNYMp4iylfMSI7wqMM+QJj62hUNe7kfXgapd1JmTzyRM9HLsd+boAn8r
gXMFeBc0Jv0BLE32XAz4ZOHEF/r+XoQ1XyqHR1h13iRY9oWjc6Fw/oG2Er1+Vb5AQl6djHwJtQ/1
JBbef2ptrAfhBlhZ1bXdcT5VuUgKQDh3unyKO72CFkRwFjg0IKSkQ0dsGGSAzWkO0xO/EjM9xhXk
oB0yb6WF1XljOsjCU+EQRal2mRBPQjPGvDiPZxa9SJBkUlPwhakWnXGk5hGrgI0wD9LKPnHUfFgC
F8aF0AxXIOScI68qH9QCZpMzWt6ZJDqXY2DcOWh2HheD+iPG4RDtDjOTZ34ofD+RmJ+mqUBNR4YH
NSWJFmmc5vuojpxACKIHHdsnHfOPqWk6NFEHOs+RrmF0JCCw6nGe5SnNjLEEwQhORUF2hdmjtAx7
qngaKt/N3L8ECdigwuhMAVqjJKOiFoH6O/qiaQiRthovLeRYsTq8RbAZ3o0G5yuVzhQ7/6EzW2x8
kGlFb0/TyCynMontyoyLVW4m+31tzHVPOxmU6ETXmn7qxNT4chZeyZ37zUikag+jeSaUkvUNu2CD
21YR3VBxTrFpgxdFIg4M+TwZ6n0ZCGMRhedBgANaE990cnmLB1QGEI5saaDhY5dRMyvNjrmqnNJH
Y3ENXdpHi1RfmjKDqgavMBoZ1iESene2Omqzqh6uck1tgC3mi7xiGJvVYzEb+nYVuaM8bVP5uIu7
W1+Qr0xBw0pNAF8ZzCwNfpwDU8uEsRUK6pZNIlXL3cIqRbNc0LvQbM0AqOM5KqhfgyCBpYNxX8MK
6woVTy54YoVLAyUQ1DFKlmUIl8yGU4Y10DcFjpkiVaApgTiPnIIOLLRS0NG44Zk3th1WZdGRLShr
zSif40H5fRBkNk/38TUXBDcpGqQVOs+0b+hStrDgdHQLfFhxtqDH5XiOIZQtSHOuoM+NgkiHreq8
dMnTQkGyS2DbhTIzAhue4rRQqnEiZZDy4BEgGUTzc4qZ9kmYCbqPIPG5MM9gyPVnoYoUlGvId7ag
/P1zzj6eszKD2F+fs7CymY58PGnFX706aTnCBIuFTi20mddjZxXajIFJImqn6DcLoMNLue8I2io/
+nu8/PqkBRVB4e5w0cdD+A+4Nqo4zt9OnjnNH50kHSEhbdji568mz33n0g42mW1EY24Nq9FEMfK2
9bXaPVHRsIEyJ4WSCiwKFp3U+F8HwatDdDGfpYJrhxoSPfO4iOaNU+uzysCvVe6QRbUFT6+BsKcI
5l4DhW8UXL5E86sZ8OWD+JHnB+EvFMQ/wQAkEyR7tKuAagZ+YOBgVBg1ikv5zvndCR6hLxiFvglb
UnAMFSu4aiEdBpAPUaqDRN+zrZAlKuiVtoKnGIXZ2chIE6XiFQw48lbBaVQFu9ERPMcAwqMTlmem
YEA2iWqilaaeQseEUyl4krZgTGIync2CqvihQaaE1lcDl2XQNzx0gm05GMW8FfzLGDR5r+pXeerB
3xMcTb1KwSdruBtFucKUPkMEH+h+OVXa/kAbmTKpED5xHFo0TEsViKAKhNAKYmilVfMSoqgaKliW
ITqPEABsF0edRp0L9FaeECshHcEGMugWNJ6L6LbopyTBhd3E6SyO870k8uZ9Fl7EjoR5YHqWl/KB
T6/aTZgklUZy1vKVNonuQ+gLynRZS3gF2ma+rxjJLYqahCzLPZRbB9WngEFYjKj2Pqim8ozpYO5+
p+fuqfNKy7z0TBrrIV8mCiWlJ0fy9TCCqmLcFd3RzEK3q0TXS23unMpfWKrjAYXlx0HTPRS6Uk1D
3EQnCVyVevCP9dS151KHaG1R+z/QDCwxLBhu6JZd1GN/prTKd01kBtl4E7ShMzWNSptbnn4fqP1+
J3vDd6EYOgnq3JrqDPDstmwnhlzshUZ55jrxnlXa0mFjFRdDwMeihIHm49knbs/cDoH9Hzojt8YH
Gm9EJumZOch7o4UMYqbPhdlDW8c+fRgUQGNbPY5odCwNKdhHJh2rRCSAS1wOqYT8Oy8qRpTchnFh
dygchoO3VKXqJiBxzdg2kJJRk7Oh9uZWJSTWwTkpJiyMTnenFKRkgdI1afC+mQOgD9XwGw0Cbw50
ysIoZ5iwm9HWw2rCinBfA92aGoJvmeAOWtjA7s3oR+XDfkn0dVu5h2aM/Ec0hMfIDh3kGvwYM3MO
0g4TZsAv7TTUYVr45Idh3XbLAjE/JkhoiKhOvE5Bto8QNJLYWMmVd6NFWv51lOiVS77N+Eo1vlmS
/7VXJTAI3XXh68Eq953V2MOe8ez8AAL1tYl7OWpFGNaYK1+zTySnOvNl8wFJt+MkEWQOns3RxIA9
p7Uya1XvvG0z1IczxFWDZRn6zjzqHbKltje/V2218tWwOXdt4MLgvRdJ3x2YwoPtn6Pt6Wijevv1
0baMH9INAkCiJf3qZAPXwjllORxeb/0RVNxeRBWoKwZ2eq+0rzTnC3Apnk3gyfoz8fSlhkR2ASkt
fgYKCiSu+UfaChSL7082KtVHnW8V4VYs596dbIxRLfSnbOdEpfGJn5Qy5svyMVppUuqrc8NPKve7
IwIaBr3EtkSEuZF4Z4bOYZk6EflYdBsV2b4QI23VGjCPTvdqkmtwVojs4yrttWLetM5ZZHc/0G4L
YOzba6dRlxLDf68KcPArlrKXL+1UO+5zaU8K4luj7LHLgyfthd1ZBBtvYtblzINYSnkNxRHBaoBK
08DJYKiHwxLs2LE6yrMAQRsEYgyIbvKwNyg0s1JJuQ3xUegRiViVtnWNKe1qLLu7PO2POGtiY04d
Zt4ItRt44hEw/eyhHGwoBDApQge/eXZYcQIQZdGHMhVbq+wVdQaRgVSyqwGSUHiXHM5Mryhe+bQp
NhJVNl4leGSSSyaTLqxAPkUUm2qgTXydrFkD+FRGjAhxQbTmYaes7ag8iKqoRaeAykzJmpukd78z
hfzqp9lJP6C8LaEdsUgqvHRSOV11gYVdQ1Chno7a5kzudPQOEztbYoVAMxBUyRT9p8M8HM4SAzMA
D+sFIsL9kICTk23QamXmXooKE7r7sCZb6RgdKD9qVdpX2mbV1cMhomMUcg60rrZiwI+BfQd3XQmR
IJSkSW/Wh2MUPyRS2l3zfR7UxvcxMY/0oBJU1dO4CClQ3a9dFdZTqFZhNVMArviHwGObkVZxBGoi
j+PMNyc4QTjFcU+7fhVXjGKnRusvA8j/FB0edahKAN23ogxKM/zgFeuSy3Pm7/kS/Kjz1Y2wRkPT
Q+Ckimw091qIkMu8NPR4Fje9t8QxkTGolZbqIeLmDQKgpr1HI0C+/iccPoZDlRbUr8Ph0boM8mxT
ri/+7iUiIi6tAeqxEIYBH/04v/tJqpe/aMgD2gZ6L5xyAMNfUn3riyMjQUMRgBKMbYhW10tAtL6I
nho2ftRyOsz6P3I9QMLmfUCEs4GJGuhSunhCjehtqo+GQ6RaNBNOEnnUXTxneZ57RfbtlVGmqXea
IUi6PzaF+d309a7cc6SURKrrpe6mHK3q0vH17KvjBMY4ZYN32UJLrfqq0sjRwWfEFqIQtCf0QLrs
VVr1QNfgZqlqBCXSBA+AQoinnDSteeHFw7rzxrXq0y8O+nOzspO5CwFZjZPgRB0YRSmROe9bl31e
7vsmmADgjvhnlS2O7vKwjgqmOEVHWtlgNkeXgu2OH2eMnay9wLGzZ76HcorROCvdK8tJi/Ndnpjn
emucJxBDZ5Fm3Q9ufzza2LTSfFoXafGVwv67b4f0HFz4ZmkKWgoLm3FpB04yzdoMFrdunIemdUiZ
cq3S+onMND4EmXPQ+BHtEVe1Z3ploWJfgnJKutye5mN03hY5Nr9jfqSVKMuPKSEJjAUWq2AYJsQ1
AlNM8llrvT/tgW0dIts/Hy1aGiZThEqRc7zJy4exKgdGhn0M/rPZi6twCbBjT0HMNrfgLQ2SM9V1
TA3QKqeiqIFXQPLmphTAT61t7AUp/6S3PXZgTnaZ+tE9qqVnto5tah7fKZF/YWag1eo61A9dw10F
uXQW5OLoMywcIBIMwbzGPPSExEIW6+e+aV7oJR0hotq9maUH46Cd54NN3SXbCMSmBHBEmUMEXvoD
BmcQRrp2omfpMg6A6ahCgADtgElTpJehWcUzE0b1AmHbuZlD+jLwJZQ6REh82V7ohdUeN0Iz2xoq
u56U+qqOzOQSImo/o810NrbophmaD6aYLmMhych/D803jLZuXZRWMLRk8gLHiG6QfcU0/dpy8bNE
/I5CFLKMuA25PZcGe1G440kMUgmtcBBcIH2G7BhE52HsRKdQ6L8HJjLNaTRCtOlpPcGcrvHIHA4A
QHNWGeFhpiLxQysQHyT7SrJ8aVIbGFUoYY8/exksoMMdG3lyojnlge6Yp20F/6AWZYpn6QtJK75z
+sx8QwUbi/mjmeG90JonuHpqSPEgg+e4C68tECp0qws7tG5NqT8qzeZBdZOLqrZW+K8chm2ESI1v
4R0XOxXEW74HfHDu8VNji40eHPc+biCrmSd8eEQcOv+6wPN3osjJieoqpwUSbYUT3QIOn+J5gZmv
HwG00ZLTGkUYFHD9Ayup0ytfdGSZ36sTWP3xgRQ3OVbTAw7HQCAY+CZrXIUi6uX4TIGWHksZ3BqS
ronvAPy1x8M4rY8aBaeVRr/pzGRda8r+aPCmHZ0ueLQxI2oayicV/hi6BvgyhwwbuJToZKcTXHsB
FUZQFNXImBBo4aD6+8zktINAKdOzSswH9nuojASItEUhSBtnjlPUe0poXzUJLiFellCeF0FYLYpY
rpcog1MSphkyHb2unvaDjklvoBz7bKwp37lxkkK2nRhtyZdTW/3VWGALTm4RH4R6aCxrlmDexVK8
p0BIneQ5co0TD0w3czWz9vdqScN/is5ujDuVrCyk0I0m/xzTj8e0kPn89TF98FBuKFrE3/w8oq0v
pmJC2jAFGYcR2CsWiPwF5AttN0T6xHiL4/PljEbfhqkSjCc6cozEXg++dHp4jL5kqETQ+1RKnT9o
x1nc2dtuHOcTynOUQJA20Y1+d0RbSu7JiLDVxxYDE0ShAx4x21eZbRS6s7Rae81j1EHwMHz4D2NI
Nz2p7GZwMAxUwxvc0hr3xHezBuV+lMWTKVIhnTzPJaOxTnO9LLvTtMuPcy0KLqSyg1cCd8NahNVY
ndmxH37HlmE8G1J6FcjuqMj60kSm2ZCCbwMNOfoCWV0hNoY7b4M5gJSE2lyprbi6STim+3zSxyNa
FTOtMasAAToMlpR9DJPG7Ks3DpFEc84NVXS+vXLpaB41jZV6y76tzVmZdSFs86GYd5xZyzZCbrLr
i3EpM8a4HHFeURhCDeY41yqkc2aD6oz9PG44JI9ySzjOpXouVcTi0Txqhspn/6qZ+TUwzTIUMFeY
5hSFS4UJWP010uLSmdPHjE96bI3VZWHx7wOwz+ux0xnr54UXkXf0fmatCqAi8j+NhSfVRsGg/fUW
ncd/zbJyfZ+xJ1OA0MPq/j//4+8//LlP6RNYDMjoHSDD+KjO+DOVxmJRyCVSmUNXeOw7vOxTzF2A
rP3sLbx2ELO/IPeNtKDBXjVNXf6jXFpH0erdRrW5DhLGoOQU+ArCYuZ127zw3N7A76c6keFcdOkg
QG7FTEJua2KFVXkqjbjrpYmZXRs6w1AEfjniLYlTNxmZhkptuj96SNCAS2ZE5+pX1MbWrKTTOc3h
XS5GvcYROhiDiVG6UG31JpsXrkPSW1XdYRiOqGPiA6j1tk+D0PrmVOnK8/10YY64WltGts/kATaY
Zq3qoL9ykb4H1JF/LTMh9iYFzp4ie3cw1S96TT6QkuY4k0Er0UlWQAaFCvZNgP/yDkUCxnxY8I3T
bHQOwiG+cWt1vzbxPfSFGCViHwuvMP1p05kIA/bGrVlG0l5dEwvK3hgWYOcezMx8IIyGs8p3wBsV
7ZHTa9eQYdN91HkyCGz2Wm39M4R5URoM8zsnTU4ioC221lpTvCCz7LKngTpHmWsZMfiEYWCu6WAs
vCw+S1AUQWU8eTBjMLPC0zWL86WOy6tVduedGXl7IIJsOsyGh8flOM7CQDLnjdSfWOBwMLZRLwMc
ZFthJUvdlGFeA7AIYRlzEuI4G7fdSjPr74mwoi2EKW0DvmYcsam15YEWQ9jZp33VeYc56g1AeG29
dA6Rrv0xNr6YzLfhvAobnfmE8Bcb436ZBAGj/AAObV4M/pkWqd+UAD2xXHhKqLYPnjLSbkaZBDoB
BdRcNGbsHdPFz/dHOSFQ+VK0Rytn3oXyuZLh96iBZwTGTkERycFl0Bn5xPUbe6JJdThDxJOulZmj
8pwhfSZJ2akXui5FFT1pU76wJABwXVjeN02/J8cmLKCUJR6SmRv2V7kR3FtIMbtSCLBAQbKpK5HJ
tKRmrZMr0TrWblCV+Y6YFT7GnrXE9iQDZxDuqbL3tbAwRsMofCGpaFAVo71A3mXWw0NI4+jQdK0j
pcEkwYaelIzpD1mo17QN/BATf4VpHjGEbqXwTjGlawM0HLyl89ivD4dWuoAi972O4we/BIFaNNIB
4PdjWXO/9Wl4MHRoEFKRXXoJUwC/dC/c3jqoQ1YoVz19gcdYN40g5aeqfuNa3Te4o+CiPGQxeomU
1grkW5Bx510ZHns5fvYuOETbak86RT/XBj5LAnChrJQVpKEpfq/7HqKYjdkdcNreekN9aetUrKlx
3OoGqt3jnlairCVTMkTVcG00tr1Eni7B7565DmEOheVCgp8zZKAGe7BQnP7XZZXsQ686ijR1hUXQ
JQY+NuvhauDAuhUNoGDKAwsRX4rPYRne5lrigE2PsWU37SW2Tdo8RrNpjk6mgNExc88cpkY68iYh
6ncrjsVpXykLW0V7WkRcopSSzSO9Pc0oiEDF1fKiQVmIqpuqnDGKzBIQk860wTwKG+eOtEiMMMxv
qolkOupmIN0GZdIOuT/LRIgr/RGHaPmr6qRoa2A9o+ZVMqloqzqKEe8lLerWMZ42HqxvOEn9VTN6
XxVZv7USJlmeah9FrY/VoEeLMqzic7Jp/BK9SJkOqnWrIm0zV9KYsbmZzwcNG7wkUHUxM1pEQfOj
rEf3a1ggsRGUykUatGjkMji8y30JZdy2nWcVMSIIrhDePikRRkHZ6MfYZ6hrpS7zlFyeRkmBLnhQ
GRIzx2pMrhJPsryjUcUdlaJPcFKNA8MuL5wBKF+ZWKBgxux7NgbOPNdbbVJH47Xbwhaz2grxQamY
jk15qgfxsU9HRDPc733V/FCaJmUbl/tkUPMInwNcoIyzJhqPGkdCa1QuwTXgzGcj/iJLpQa/NgVQ
0blIoIzNhdYzM3Xl/TgLL8MWSE4EWJy7Ga9xjzqqiuEyMbqzvAtPeR5YhL75lkTK8Wj48qRGD5SJ
KR0aq20mPXzYVBuOFbPal/vwQJf7bympoqsbp6ZXzXIHXJPNP/S6j2xebFJaGTqHnAmxNQhr/Bpk
tQZdCMgnyPfSIt0rw3qcWElF2DGRijGF2aVC88dU3Hhp5uFqHG15JUXdKg1NH7YqXfZ0qNUVDdoA
58MQmRwtx+1PLhk3w6iAnRgwSmSm9f+lcHomWMzW9Xr+mBidNTTizx8qKILVS00hfnqawau8yP53
v/T7Cz2nZBdD/vCf/7G+x1qUwXZdBnc1xdD7dE1/X4o93tjjXf/2OvGatK+55x10HPfokwpPPRS1
efEucZZ6zz+WsC1hJCSKLvUJ7/hqjX61Cr//gE/L+fvf+fXNv14DA1eJd3nuv/P5+YA/Pz6OF6oB
1QLO/9PHRxXgzcenn0yGi4wPpPbH1+tn+XePwu8/4HaL8OFJEEJA/4uVEN/166WwkZXB/5cMWbyo
Id4sBU8C2BXdElM8iov/4wfhwxoIBYet10DH/1hGIEizntaAmuLNGvA4qCjjyqbMT3ZyEZT3pd+/
syXePgj6F9nAoBNxll8sgv1FxYYTd/inmMGe2cml0N4jtP98KSxaSzIAbaSVn17vngf2BHWw0JR6
2n+7tyn0pwf1ScvqZ8D6kyOCGEmxbmEJBEhcvMTT8uaIUECyiycCCZbdfBIEhe5NP+TPnwRdfNE0
HjkpNj4J4qBwGBICCHz5+W5uiu2XAuEderM0Wp+X4sNBIQtbD4fuEC2bnVwE/SlkbbcpRATERus5
Mrw/KVTlC1GDVrZwvdrJRfjQJPzzTYEVi+oIZ73nPUEQfBsZZLr2SJUBUnqMHLt6UggxqC3jA+xg
UiMklEhCPqyBpZI1YPkiXru6BkIJb+s1wIFAfN3PyTTVydul4KCw6NaisbXTMfK51NkmPJAiOUI8
UaWvLl4floJk2nbQ0xRo750MDwK7suXzYAI0VJnlIVT48n2/eR4Um3Ef+qUEyh1dhOfgvcWTgIKd
pZEgMs/cvAikkCa5FfboT8X87qWQAqW03ZNAl0GQHEE8kZK/eQRU/QuzYE5RdsPja0cfhOdUZosH
QYNqwjjZAEr2bg0UQGZ0YACaPRdcu7oGn1Ff00rS+KTPpcT7sMhSAD+WOUV2dQ22PyWFWIgg1b58
2x/SZ44Gpq0ABXc1VRCn2XYBQROR30TAAerT4+tDTSl/gRntAObYibYjt/e+96puvxtIEgwA8uZL
c+H9kyC6TSDnYXTv6nZ4/na2CYtiEUgZYeY9PQk89G9PCPWLICsw5t/VJ+GDKtGfF1IgkDkadJUe
w+PrfVykmlQdFXogcAfx2tXIIIzZt4sM5Ev4T9M8UJ77KB8yBiYWgEFAgj291+7lSwLzst0i4Oam
kjGChaP7+Px9v90UhEdKalzldzUyiC7hlovgfEH+CPs5vuvH1/u8iU2BeDjSFOqubgfjqfezXXjE
7I9cQOZSbx8BCguLHjzp8+NK794+EKaBWz4C9heIEiaV9HOa8CEuPibViJSItgvvtXuLIL63rRcB
ergDa+QXQykqSLjt8FoEBG4nF8H4jAoSyLzJYOoX/XcxnaT7Tjh4OkJ3dVOo228KskLEOplSPuUC
H3tLtNk4Ogibu5oxiRJ4y02h0VkmbYTmtflwoJK0DXquQMZ2dFNoW+dKGg02AHfCW/1pEUgG3p8R
MHxlOi87+yRsnyZYMP5wQfpZRn1IE2ShzukwrdZfcqmdDJKCdrjdpqDNBs6N9vtzFfExMpA28mPw
3E9RaPeOS2X74xIEukCEy0xcHl8fWgsw4xVInoDbdzQyPJ/j26SN2EQLPxXVej4jCIJvI4MMTp+k
AVjTji7CM8Jmu0Wg9W4aWJ9vDo/0V1D/4X/PT93ubQdj+/BofqHZKpKiXyPcVEeMqo1dracF82O7
wMhBaVrUUVDDn2LChzpC+WJCVYRz9rTgu/ck6E/7dJvt4FAmqCpN1+ft8OGgZBFEL25380bjKZfb
YhHEJAoNb5ptz+2l9z1X6ghRbAPj2dW88Tlib7EIILoQN2cNkBh9fH14EtQvBlMa0E5PifrubQfI
Y1vGBDGYNZjDoAXxtAgfngTAoGQS4F13NiZsP4Kgx4bQLNPXp9x4U8bIDwG+0YAXr13dFM8twG02
BeFR1JJ4zT2dER9SJo3nAY8gZHl3NGX6IEn854MIsQgIRgkV4cfXh+SZniuJs81RuaOL8IGe/ueL
YHxBP0P0nZ9Qa+Khf5M8kzeKjhyn6a4+CUL+csuUiS6TmL/CqP/Fk8Bcjlm+SaNpR5+E56npdjEB
+BK74SNuhZ4regSgonf1cFCeQvU2n57mOmgVtIp+AWJTDE4Pg2gB8FG8dvVw0J6+o22WAu46XHgK
ZvkXyYIYWz5qO+12k+m5yNtmKUgehUYgZcJTYHgfHVV0tlDQUDBR3dHA8EFo7M+PiEcQD3UEUp2P
r/eLwBHhoEBmM7h6emB2dCm07aOExvMgG7i/Pq3Ex9OSBi0wH1XZWVCXvn18oN9mMX2SX1ALGyoq
sOFCr2JXm47CAGLLlMGGAgOUlRb00zP/fhFEv40XmKddndYq2+dN9NtAtYHV+cVMhkVAok44t/9B
8vhvFOA/Cco4QMX3j9Tk4KHaxGD+1S+8UFY//vwV+O2RdPvmNwVV+enNnyBy4t//6y1z+XEu/+qn
L3P6x3d6/vvnj/jxzd+82cvnevmPe8FDuS7vsFR4JGw/3+jxOoHb/N8x/3e/fg/dEw/ny3/bTLP+
uQ1+f3UsvB9eLvRKQod99PdH/cjh/vcuniDPU75c6NXFCddbX3zS1PWmGycKbn3t6Tpet3wl1cu1
Xt076cD21/+d3v/jI7DFVzrN0rpc/zXNqvrDU0MVRJ2z9f3PHuK/jrNy4/pzMmx9/X+l7bTtEi3K
hyrdJBxFrN/65n+neL3tjeMdcJvF9/XLbf79XAp6w9a3vkryhzJYxy+XenX5z9iyKxyfN1z6M3bs
bwT7tl3zgyD1NgQCcchuveCH62hDDBODvE+4dFU9bBIx/IwNephVf/136j3ED5tWhpRg69s/Wt8T
gF8u9OpB/IwtKlSYNy3NZ5yo/0Lhedun8eghvc/ugk3RS3SPt1/3h/Lu4f7lQn+vuxgfbH/xjHt/
uc6ra3/GmXqUbVyTz9ilXLp+KB+GDXf+GTv1eJ1veNBFs27rBT9+aNcfc0cEDD9ji56Ua0LAy12+
+jo/Y4uexuu7hw25o4CKb70sp3GTbErutM84RM8DUscquN+wMqJPsfXNf13flZQEab3hLBU9wk94
g/SvyUMabHyDz9iqwuJ6gsLuurzfGMiEzcenfIpZ8OBtWqXP2LXiQyzYAXdBdbfpPT5j+/5rL/Bt
jxPxDodNUP11couM76bP8RmbWbzL0bp+2HT9z9jPXL9e/zVZl7frTTmDEE75jOeJ95jGm9/hcza2
+BTYMY4vt/t3TBXNve0/gr/eWBMKAbbtL04PY+Pif8pmDqooGLLm5T5fLcyn7OUM76kND6cAHG+/
MCQmyYYDXhBLtr94vU6DKl431cvFXi3Np2xd0WbZcA4LJNfWd3/x4K83LY1gWmx/cXJ8ZKFfrvT3
ugj81fZXb4gEG454MUn9hIvTIEo29eXE5Gvry19yhWbTXhXac1tf/SaLN2wlQSLb/tK/9qP+/UG4
qS37k2f1sVn7Imy46c/e9qLFb9zFD+vyv/4HAAD//w==</cx:binary>
              </cx:geoCache>
            </cx:geography>
          </cx:layoutPr>
          <cx:valueColors>
            <cx:minColor>
              <a:schemeClr val="accent2">
                <a:lumMod val="60000"/>
                <a:lumOff val="40000"/>
              </a:schemeClr>
            </cx:minColor>
            <cx:maxColor>
              <a:schemeClr val="accent2">
                <a:lumMod val="50000"/>
              </a:schemeClr>
            </cx:maxColor>
          </cx:valueColors>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_xlchart.v5.0</cx:nf>
      </cx:numDim>
    </cx:data>
  </cx:chartData>
  <cx:chart>
    <cx:plotArea>
      <cx:plotAreaRegion>
        <cx:plotSurface>
          <cx:spPr>
            <a:solidFill>
              <a:schemeClr val="bg1">
                <a:lumMod val="85000"/>
              </a:schemeClr>
            </a:solidFill>
          </cx:spPr>
        </cx:plotSurface>
        <cx:series layoutId="regionMap" uniqueId="{59EE549B-9F48-4159-A98F-AD7295679EBE}">
          <cx:tx>
            <cx:txData>
              <cx:f>_xlchart.v5.0</cx:f>
              <cx:v>Sum of Amount</cx:v>
            </cx:txData>
          </cx:tx>
          <cx:spPr>
            <a:solidFill>
              <a:schemeClr val="bg1">
                <a:lumMod val="65000"/>
              </a:schemeClr>
            </a:solidFill>
          </cx:spPr>
          <cx:dataId val="0"/>
          <cx:layoutPr>
            <cx:geography cultureLanguage="en-US" cultureRegion="IN" attribution="Powered by Bing">
              <cx:geoCache provider="{E9337A44-BEBE-4D9F-B70C-5C5E7DAFC167}">
                <cx:binary>7H1rc9tG0u5fcfnzgTI3YICtzVbtACRF3W3Jjp0vKFqicccAGNx//duQZEcEIQeqCuucl3WYTTYx
2UBjHkz3M909Pf++b/91H283xbs2iVP1r/v29/d+WWb/+u03de9vk406SYL7Qir5vTy5l8lv8vv3
4H7720OxaYLU+40gzH679zdFuW3f/+ffcDVvKy/k/aYMZPqh2hbdx62q4lL94rvJr95tHpIgdQJV
FsF9iX9/b2/i4Lss0mDzfvc78vv70yr5JuOH8p0tq7Ts3r/bpmVQdnddtv39/c6FyPt3v43vt6fb
uxjUL6sHEGbohJsGZowY79/FMvWe/1zDhJ1gA1NkEtN6/Py469UmAcG3qPSo0ObhodgqBc/2+P8T
V9h5EBiQ/84YiPthQAYQPMDj9/ef0qDcPry7LTflVr1/Fyj5OGJFZ8vhaT/dPg7Pb7sw/uffoz+A
ARv9yQukx6P7d1/tgvk3QP83hsF92PzzOFN+YiIGWBr0CU0+hpucEE4YN+ANenq7nnB+g0bTMI8v
MAPlsciRgXwTV2B3DoCxdWJRg+uE4lcwRicWMy3dovouyPM1msZ4JD8D4pHEkSF8V8WbYnsAhI0T
ShEmCFno8YNHsxhbJ8QyTRPrdBfh+RpNIzySn4HwSOLIELYluJ3BTqvyENbaPEEY3C6l/GkmmyOc
CTnBlJk6x/DNS3P9Vr2m0Z68ygzMJ+WODPlVvE3TA0xt60QnSMfWPhEDrC0Tc6qPXPNsTaZB3hWf
ge6uwJHB+t9k8yCLA+BqnlBgVYiYbDyHgXpzQiz6bMzBlr+cyfMVmoZ3JD8D35HEkQG8iN85sgCQ
D4IxJ5YBxOvJWlvWBNSWhcFgGz/c9kuo36TaNNr7l5gB+L7QkWG+hBVnegjAjRNOsaHr+JlpjwEH
HsZNHf7CI6Y9X6NpnEfyM0AeSRwZwufb4hDOWD+hnDKks6f5iiZ49kDQMCWwjn45lefqM43ujvQM
bHd+f2zIQvjtEItkWEIR8LuM6c/GemSrYeoa8B0meAztXIVewXZHfA64OwJHhu6FVO/+m3rbeHsI
jNkJ0gmh5g+Mx8snbJ4QRoGXYT7lj9+o3DTeUxeZgfqU2JFhf7l52D6unat/NpZNjRPLILBM4vp0
dISgE2TAsplh8NcvrfZ8jaaxHsnPgHkkcXQIF8Eh3DI/sTjTAd5noj2e1xAW0Sk2DW6NwiKXm5kK
vYbvS/FZ8L4UODJ0b2W8OQirBquswyKJc/rK/CUniFmmjhgkq17O3/kaTeM7kp8B8EjiyBD+KuND
rJrME4NzZgGvHnEugiEUAt4YEo67wM5VZBrWHekZoO78/sggvdwW95AZtf/pBDIkFikyLMM0ntPE
ezYZnTATW0C12BTXmq/XNMYj+RkojySODOe7SkJ6MT1E8gm8r0ksxtgrySegV9QkGJtkL/k0X6dp
lPeeagbOezJHhjQUjGxqINKHWECZkHIwCIaF8pMnhszDbnEIOjFMZBE69sRvUmoa6/1LzAB7X+jI
0F4n2bYINvEBLDg54RYxdUbxE9gwe3fAxvqJDrFOHUMaY/iMfPRbNJtGfO8KMwDfkzkyvKGEKQ1U
vKkOMb05hLgQJBSNZ6K9N73xCUJDhISP1lFv02oa7YlrzMB7QurIEL+UD/L+n5/eDJ+Aw4aiH2w8
BTz3Cv3Qic6IziCavUu+Zys0jfOu+AyIdwWODN2PAfhqFTwcgphRIGZIp/Q5WbGfrQCODp4cItqj
uNeblJpGef8SM5DeFzoytC/lwQIkOtTrPi+1rHER51D+RUzT4mgE9Fx9pjHekZ4B787vjwzZ2819
ATW6aXmYAInODQsi1OjJVI/xhTgJhE/gL8hNTjCxt+k2jfXENWYgPiF1ZLjDO11ui233zztoSFsY
HAJjFD0vtsb8G1A3dIMZdFyb/RadptHeu8IMrPdkjgzp20061HRCBS/88xDhMsg7QtHXa+EyfDLU
7zKdjSpH3qjWNN5TF5kB+ZTYkaF+XWwgHX0AwCmsriGpYRrsyaaP46MYdmboUANojNfV8zWaxnok
PwPmkcSRIXwHKTnYNPXPQzzsoYKaEshLPq+w9tw2gX0XUNtLx+mNN6g0jfH4AjNAHoscG8pbf5Mc
wHADyBD/MqCu5JWSP8g9QzgUM2PYngGfUZTsbrZeryC9Kz8H6F2JI8P5Jt7cbw9Trw3rp8FiP2c5
JtgY4kOslPysH3uZip6v1zTOI/kZOI8kjgxnoB7vxBYM9yHWWwa4Xig5gJqhn1juRL6H9RYiCPbH
jgsO3qTVNNITTzYD7Qmpo0S8SDfFQ3CQKApsbEYmlAnBVrrHz3iGAyODNCcCK7AbD30a+rco9ivg
964zG/w9ySN8AZxg6x1ixkOuCwNRg3zXOMnFYbs7NeGteLYF+9jP1ul12HcvMRPxXaEjA/tio9T2
ALWCwNcY1sGLP7ExhMazHKoVDPiaQbXgLtTzNZrGeSQ/A+SRxJEhPJjNJayu7wN1L38M9T/QugIq
j7iJEIdwySvem5ww6N+hm3TCkP/UaM56cBronQf7eZkZeE8LHiHsl9CG4xBWnENJGeMQRXu21RML
bsiDYIiUj1Zhw8jPVup11HcvMRPxXaH/BWj/WsWdpx7amvz3F3P7jV1pYGpDQtowLPxKqdmwSQdz
wjGU8j9+ftz7qWkJVAP97KXztDibsDdP7Xz22tK8lN15xqdH/PWg/K9rOAMTAoLdYlN8O0y4mw0m
eCjIfyVqMgBpmRA3oc+xs10g36zeq3N24ikn0N35I2i8NH3/o3wH7KLqfzqxVycNVAq9qb/UsCeH
Q1QM/ag+GfNuCJvB3njw49b+EntIw8zU6le471xjB+HpJlNPoO9IHRviwbY4SHYLmlgYCIqAzaf8
9BTphi/BIMAmjuEzds+z9XoF7135OVjvShwZzuu0OwT9grAZItCtBPZy/PC+O2Ez2F4J5t4wgJnv
mvO5+kyjuyM9A9ud3x8ZsrdQYHSINAc1Txi1DAu41eME3Z/BjxEUgwEB38V2vkbT6I7kZ+A7kjg2
hKsSCk4O4JEtaB1FCBT3P1OyPY8M5SbDPjy255Fna/QKwrvycxDelTgyhC+3KVT8HibGDSAPxpnz
55p+cLQ7JprQE7DfBqVDDeHL/NWblJrGef8SM6DeFzoytD/DKFcHIV3sZKBUFL3WLG6oCrUgYWmg
kTt+g0rTSI8vMAPnsciRoTxsNM+kOkABAsREwOdCmYn5HNEeT2mA2TIYN8Fz/2BlOxP7DZpNo733
bDPg3pM5MryvtvXm4RBow5w1CIdZ/dzLYi99AVt0sAVlgmMvPV+jaZRH8jMwHkkcGcI27F09yHwG
hIcdlAZ+RnhvExZERsCsGwDyrouer9E0wiP5GQiPJI4MYYj3vDuTm7w6VM8SSDgzAnHQx8/ERCYW
tKOyrOmQyNuUm0Z86glnwD4ldmTYX2yiQxT9WtCohEJzKajzfvxMzG0L69gw+SjqOVefaZx3pGcA
vPP7I0N2eHkvqkC9u/4WqOwQYTAdeDcxwAlD9Hr4jAnZUGEAW/IwJhP55zeqNo33a884A/rXRI/s
LfhvnAUHaYYBvWwg/QzO+7WyfugACh9d56M42XyNpjEfyc+AeiRxZAg72/jdlYTzWf75UBlsnQbP
Dc0ih17sw2evzgCW3mDo4dAMMPAvF1tvUmoa5/1LzIB6X+jI0L4NVBR0sjoM2BSKhciPE1LAaO+G
zMiJATNehxaCu2C/RadprPeuMAPqPZljQ9rfqCEB/E/vwIPCQLDJUOpJX+ttQ6CNEVQIw5swwnm2
Rq+gvCs/B+NdiSNDWAzR/X8eYApJaCjpH7o3P1ntiQSHDtVFwMtG6efZCk3juys+A95dgSND92v1
7QCzF8CFmi/oRQQ9Dh4/eysrfKLDqsqEGb47e+fqM43tjvQMaHd+f2TIXm2yQyAL3T8h7cxgVj4h
uxcogQ12UK+NwEXvIjtXn2lkd6RnILvz+/8byL5+NN3Pg/6cTblZPB4R+OJ0ul9/+zg4cLbhSPSZ
1U6UT/4EYf3w+3uAjEJbVrCnP6vDhgvtcGJYcQ7+fNhX/wO/XdEtOPzf38PJgxhYNRx4A1zLgpY1
BhCxZvv8FbwDQ2Mq2KUBETPIYL9/lwL3939//5QegYZWOlQGYyg4BK6uZPX4FdSrwFFKcEIHQRBu
pbD348fT3si482T6c2ie//tdWiU3MkhLBSckYvT+Xfb0u0FfHe6ATG4hk1FoivbUTDq733wc2rXD
SPwfjj0cx4Uur4lZxIKULbFx03WLtk0TQVoPrxs3Wsa0W6dJSjJhpf7XxOJnSR0sTatcQfPVK17l
61DXrnvNXSCWdHYccnkRB1xeh0HxuUPsi2llyDFV1wlTKxd1F90ZhXsdorIXWeRFIpUh/9B6tPdE
0YcZWsSmgaRj6g1a4BZd9X5QO1bP6pXv+rEd6WYqUlT6doCtRR8WmcBe52DTW/SuDISFdHlaGU3i
aC67aruMiq7rQ9uwlO74bdk6dY0+1bh0eNgtGlIqp7RYZBsoKIRe6PcGPKedJXDd3HKTZVXHUqC2
CYSbhvdWYJmLzpWpqBI/EnHnr/uUues4Cw0bJe1CphpaIUnjc13Xmgs38C3h1klqsyL8FORJJLS4
xHbhhddSK2097ALR9GxZGhXseM4NO47yTwb3rrMcN4LS5oK1Qb6kuVsJN0srJ9XizG4Yym2rgDGN
8uoyy8LMjjoZL/taW2WFfqan5HMS1h+t0AW9m1AXfYNPOc1D0UXBQ43ppZf2Vz1JaruCXaKiCosv
canZbiUrEQXZReWbochg86jtRZWt9W1py8iNhJIhFVkZUicmxjosjQ+R2/mCNqpxSO8tcpaYy0aT
9zkhgSBIXRHaLFiurSRKLpIkuMZxdU5pX9gJU+d5De+MW6mbPDBKYUYwNKjuqgWzpFCpZ6uwWuU5
veS6Hy1LS2p2XofyNMKpE2Xaqgi1m6iV6rKP8hLQCwq7Mo2PkJK6tLJYLoqubm2WMG6TKM0ElX0g
YlaqRRghLuLGXShP3bVW6y/rML30mPtnl9fdMtbMlaeo4egl+szy/M+Q5tzBceh0eWk4ZuB98Bp8
gdvE6b32KlfWQ2E0mZPUCsZQGWsvD7DoDf2irNR1IFWufZCSx/22a+PolCeJY0XZ58j1crvu63MV
9OwyraLsLCytrzJCH0u9eDCzzi7yVGS9t/RSw8lUc2aV2rJA5FzG/lUg5VkbqqtUxjd1GkVOrvxq
FbtVszZc/XtvaFUowoayVVC5vBYsrftbYvSXXl6oFY6DZukFeisaasB92SqLi1XDe7XouH/a9PSm
0L8qDXsiqaxPqYVFHHrnBSkCkZT6uvGp8LL+purJqVsHjej06gMYO1E0pUOIngkt8ODty90bqsoL
aB4hRWSW57IKPkKXXdvtvNs+awthFBUVfhuEghQlTJSEpyvLw3RZdHGwpJGxir3AO81jDcwS8c2F
7GJdaBW8OWmGQ5HCGbAi6ZMbs9W+cJbC6bToITFJZDMZf+5T70LHERVtnjFHp34tUOFywcPsm1lp
7oUV+ZdBa4KZQOgmkQlMBp7j64bGW9rzdoH6ZlsprReJ0X6kTZetaVr/iWWyzBn60gX80ozzpaUS
30lamC8mU2zVVt4faWtVTtSky8zsVrUrHZQVN1YQnyMjXPYqq209d69CXgZOYESnMu2sM67pn8zK
deDOtU0tdodhJ//K16Vy+hxni6wN20WukcsWpsENl9ZHvVOnbcwCO43rRPCYCJKFWASSEqHz0oFn
DUQZKWZbQb7x8yyyy65shRHHC2zK7551H2T8oyrpxwjGBPwAtomXxqKMzZukJEvka4BiHTGRubwQ
dd8EdlOHKz/PuQjC2BJdqT0EcDnTjHJH172zWPeu/JBEwqiC+pxpOF0AoN2pTtqPbRo7OMl8x5MB
diozPbXa3IRpW3jrVra2qzmRSc99yzTsKuZ/ItUHazDHwmuZLjzWLjU/vyWBuzL6rrA936gWbYB7
YXnqPiJ+YGuKrgqd96LO80tP6QW8NdltpbcXDKnQ1mi+qlKw9VF21cgsXme4ufbK9iPq5EJzabfU
DX4uc+tUw1pz5/ddtWwqso2sqhWK8w+Jz8NFH/fUfnlK746LvpdZVwSe/3ze8s///M+dTOB/j8f2
/vWHw3HNf/3XaiuH3SFq/KOBT/381V9H/w785ec5wCNW9HTm8w8S8ZYv38SnhozC63zq6bi2fSr1
WFT9g0rBiRfAqQnQFNgQBQmnF1QKCggIBEKGehKKCeSYfzAp8wQSVwjOGR06lsAJk7B+/sGkgKMD
L4PeobA92ngkWT8GYQcm4JETTIqSPSbFoTM4giI12MgD52UNu+xfMimZ6X2kd666RjG9i6S6JUo/
B/f2IWqzUDQ18888JJoEs9Ow60IniSJ36dZGY5dt5QqUZ7ngXVM5stM+Itb3tp9xLBpWGkL1+EOJ
ciKYBddKufQXcZjhteUVRGR+fFvwNBR9Kk2BZXup5UiKJAVC0AAZsLVWdx1ewgsb10QTRdnkVyhN
7qCRl37J6z69CAkphTRILjxXeQsS8xVTlifMWja24fue6Iv0zk9N8PhakoHxVOs805euWXoLFWEi
OEu2fe5/LlCsiZjop5Jqt1ofYbD94Jn7vha97n2DXVKhyPUKfJpsFmmxDsGBevShhlPLqV1a3qmU
ruc0dUVE3oPn4l0UO2ncRkAsFJi+Ltw0vcxEWxYPVdmc4TJrgO7BAxW1u1aFedNpPBNdutD6i6rE
Zy0z/9RDYy1RyITV6cixuH5ReMVNkLStYLWZCdni68gA/uuhCuwhAkgoV6L0PLXmBUNCuclH4jXs
g6X59y1JP6jUrM7dmMZAQH28JLkkYBZqvKTgyBaZK8tFHBWh40YNFgUyL0jgr7sqYMBPfCc0049t
pEKB+govcppw+5EbGxaQRwPxfOHlZX3rlYjaLrb+8DQZChlkqxyFZyrid8zqN1jz0lXSRaJE5SKs
fcuRBNhoRgtfZCw7bVBNbKPMzyC3qwC/fGXRJLQjF6foJmNlemu6Ody4UEDB5XXPivtANnJNau0G
XvCNJQMpitBLz/wIfyny+rLwwZdpJgudoKHbtqm2Ne+6pSpboMnKdE95q38Dn4uEBFXsCBzaMmiq
W5146jwx0Vkdhl+z3joHL9bbuvRXstEu8q7LhEImWpaeiwUQzEYUSl2VYQ/Tp77zPfdb7nPzNKVW
K0ItuXV76ouWVH/klK+B83mnpi7PINIeC9kZydJU6drw9E+Fj/yzukwNEYX9LVyzuchrvbZbS8pF
6RmFnQbABesijZbYGsBraWcjwzUc7LI/gOUWQMyqSiiVpmeKVK3dapwLvwtyEau4tPtWyS8ecr3T
1PeLmxAWgUCkcqdNO7w0q+SzSfpQeKW/BFeNhSKwNsloli7cOKwWKogCmO0lWatA+kKGhu8UpFqj
3kTr3PTXHLvxygBdRG7QToBZBHqcqBsVwrpJ5ukpK/PTUDOcUPalCMMytLNYA86ps9LWEGlFx3zu
gFN0SoZTweFfNKbfhJ4lpKo/4TY814vqTNLuymLFbc3rSvQqWfkasPw0cXuRRviqbqtPgdTTYaVz
k7DqQ+Q1n82ovVRJ/0W5jIuoLsHgyPCzUZMz1qLTTqm7EpZwIq9SJJCUVFhxexGpfMFRIZdJZypg
eu2lW9APUdrFi7bBC06yM1JVqehU9Z3p7p+Bh6+ZDK+0OrvJQ57bZq2+uS7Q1Srqv8S+ooLlprlI
w+RPlXAi3M71RUmyO+mz81bL5KKO4a0pXauLPtMq1E8DZqR0BQezkIUv2zNLD6Tz/134Y0iEgkt7
3YUPSfifG9H3Pfkg/DMoMkS/MIeNVdAiFPzly6AIhYYmHEISkNR49tc/XDkc2QBBNXDWf0n9cOXQ
AxyqUyCWgSm0hob9eW8KioxDInB7BlwC/oKLMjRy5HoMlWyhW/TXfflHbrqigrn1YmAmyMJwhb+C
LsN2MdhSZkLJOoNqKbgFZNVfUoU+c42szSi+Vi24Y7TU40Ao/aGuT399n+E6v7oP8KKX95EazvIi
0PG1DusMXFw0/OHXNxiY1S/vAIGql3fwcJ6SyocnIS0XNfvEre9S62xLu7aqegEkylb116w6rYKb
UroCB9vQX3reDZEfwAF5TSbK/NzQvYXppsDrP1ThbQNrqNZK/mYoMIT0fqkpEMGXmtJAc8umGMaC
Ltw+EXn2R1UHtsTsuhniI2Dwgu4714B3wL+aRvBE7IFvTxPEodv8ngJwnsjjqbkMkjoDf3wRaUtN
D5c14t11V4cBtrFVxBcRI7S0u4zlmW2FKK3WoWmeFa0SetV8xHFjiCaVnl0jrbcLPfdhXVehGjwl
OmssKNFfxckXktCzxkVgC4kW4k8tePkVjazQFEDPRBqGi8Io1lnVCVLnS1x2Tl12K7+/ro1gkXgM
PIkmKqNfFa11k5Abtw+XbgWGHfiQulOeeUnLWBSR4dQpKAAUAWKJNu9j0YWZE+l3Mstzx6BAEvMC
BhHbFa4uOEoWTXba5V9UmIhOoyJv0nNcsg9heBm2yapOifyU6DE4xJ4upHVXMsNhEKUK69YTeuAx
hwW56SAzYQsZxV9LLRNJ0hfC0l3lRB67+PXLTCcY/MuJP5SqvkSoCSxwrK3qr9GKnrrr/qL8g67M
dXGtBL4oT3O7WJiOZXdLap8VZ8lSOu1XbQ0hqRVaGZfBMrz8tULD5PnV9IUkwkt9WBxXPBleWRmt
JfjjxgGuli9z9DfmaOrNfGmORgbPDJI+9n24jwYu/q59yD07qGxGHMP9m0kwCjc/Wb6XkwAWhS8f
yYLnL6gVkGuf2iFE7RzgVIUnGgjGQZDxuvm7R5uygBAkh/0kUPVi6tYI0sRIWs5jSq6bUIm0/wbc
9tcYTRnAlzcYjR1KA57WHiHXqnYqPRKNZqs2+huA/u4mIytrtRaEOUy4iVUDdz4rjTti/Pnr55hy
SS+fY2QeO/DVRZHo5JrA3G7jRiADAsdXlt8+PctzIufm6f19ykG8DES8jEvMCXBcBveFVPJ7+f9o
hOMlwdGhc8uL0R5CKDvJopddOJ4Kqx5zL49SPygRhkZuwxmvCMqvIBGjv6RE0Hdi2DkBx5yYsD4e
ElPPlIhBVT3QKDi9aGgdApVdgNoPSjScHgkXhK5CJlSHwPHOb6FEeJiXf5kiSBNZ0AoUSnwN6OxN
of57NI/KnoKRr6r2Km2otagb14dVMw15ZEe8qT8Ymt6dhS3EnxcIReXXUrL6U8RUmwtlpfkfL0bv
+Q16mbUaDi8eawM0EA50AjbIhrLVXSvC0i6LLL+qr0ie4isv6lNgaVwavt3CQsQSdcOqr7zOIGZZ
JGaZ23lYRJ5we8WZDR0z0werLNE1XMOvHBLH+FOvayZedYbubnGn4Xb5a43Jrh16HD8GjdGhg5el
cwRL4JHGAfcB2668oq3ueY7R9vGnGo6HpMuSd1IXdddiWFZz1xQ9NyAd1EWIrpK66LBT1LJ88Ful
sB1ome6oMpC1KBMf1YIXeuQtPBn6N1FlnSXK8pUD1QbWZ+Xn51Hc6O0iUBp4p8Kvk9Wvn2ofBsgK
IThvCWoGod/c40O/YDS807xGy2LIPcD66rP0TIgDMYi+ZgJyVO1N0xbWbebi+Muvb7trDXUEETYI
5HE6UOfhH4NaL26ro9ZjmfLSq9Ts8RWO/OoqVYUdmK7/+dd32nWMT3eyoGcmh8ZqUKRhjt6zLGUd
UBpfXpkZYpu8kUW8ckuzIyLK/AXKq7i3KepMaYdUb5K/e2nGfASekgy9CRicTAap3vHtoct+4Htp
ElzxPNI3SVjpmygedND7RC2MQkpIVwD0qybOG+CtkeTbMrbUurE6dtEatEA2bUIZ2SFPk0+0yAh1
fLPrthksqB3glBB40i3JilOdGn31N14L7wMFxStgNmDbD4HKUwY27SVQyKj0VNdd7RJXbrIJilJ5
AmtRmTJBuy71zho/iL55kBu+aCF2uDQkpDltgmv+veR9L+3O9zjkb8J6GxSUP9R65vOzX0PM9D2Q
KQOCAEdVWGBbYXaOWJZRmAEq/JJehsDCXcuETLDfryBHTK1lWVeVXbQ5+gApSr0Svu9zu8DpSpEi
W8UsI3YU58nHLNaTFvIujfdHEyZy3amyFJmeZ58MFZmOm6euXckwDERQ0rARbqjSqybT1HWuAfn1
PGyFQuvdNLFJ7SenulHGH0no3XhdSlsBPDC/Kt38riSJRh0IssBABh0B28CqvheoMcOL2NfNry6q
2JlvmPgCUpK1ZTfIZwnsiOqCtWYWXSKazuwd3Oia04ftfaby8rZCGvchMF3ypavyas1cQu5yHzfR
yuUaDkTvR+43WCoXtQjSXPuzSnjiZJki60im2RrnVvwQ1JkB854m0W1gucNiMGfeWeEWld3BOKww
LIWv8wbim6wpYBWCW1wvYh3qD+y68UzIgBLfXSSKFk6VWde+q3nIwViWp+BqSGOnKDSEWfL4S5sg
/5wUVnar01JfVVaokaUykn5jGrJYKNSG/bKOTG+ptS3aEBU335WXZbrdkxJVIvVI7S3bMpQwOZpm
0Xl1ZS4L6fpOXNLkNIWfCticWkgY6KTmIlRhqNncbSBfKPW2F6yMXZuWWpqsCiNaeKzq0IeGYuYE
CuLfEIhjebmkZWOpVUt5e2FEfR+7H6omLxNYCwVxlxYPUMhASP9VNVrLE19YBZhyeU+6JCxpAdV2
VZWhqzIqkwiiVEHer2qrKt11UgRBJkISy1vENboOO0oruwIMXNHlCIJdvZ+YppO6LvjDMo6afGFE
jYfsAmoO3Gs/RwaH5HnHG9+BRLRVXhiQ94M3qnElVo1dgS9cGpofutc1TB3Ds3MzM+GFo5FKlmkc
FJaIc3Be7qKtA8PWXOiXpYvORSmzJUTKExvixI27bGIeJwvlAitY6qmX9LbZ62AxUxKxyk78QotF
rToP4pmBliQL6QXmd62qeYAcJEm5CphZmVe65nruWUohgaGHdtqqvO9OFRQ2F/4i83yeLFxV95B8
LVQaLLvYSLpTpFSS2TqB3LENQekuXkFZRaDZACv5Q8uSHjtwAlWUOPA30q7jEGkKhjxN/wiTxErW
tLDKeBH5pfGxr0pKl6EmCT73G19xCKP6xC9XblFn6S04Y3oWej2JllUGGixkGXv9wsRtD1ngsMua
y8Ts4NXWYKoUjotxdVbA+jl2PJd6lQOrB4Az4Ar4SdqHtN/GEfQ0caC2Jk4c2iV+vsYoYKdewCMD
KhiinDqBDFynr9wIMuBNkVk3IZR3MJsGeQgZ6izstXPkxmyJM9fTQV2LZwvc+b1c+wFuvEVkMb8R
w+8EhmKWFF4fj+Y21LdAhrtsA+3PAprxdJoIYB6RK9w/xsnNmmn0rosbUl0ZmdVJJ7Xy8lKHPGoM
hRI8AgEroTBaUPCC0689jlP/LO+SuF2qRu8DWP175R0Lib7RWzdxhYnh5V1WacvpQhl9AMpXOEyc
mOaRsk2ozAhwkH+NmwaYReiF9a3SjeZbVvj0tOaN5y7MSEdEpKYL19FjGbbLtKjxVQ/RNfZBlTq+
wyUEwkVjaMq0S9xBLr8mSRicFi0hzTqFkDi5DjRufU5RPrycYZirFY+Vr27ajpWmjfIGsPEbiDE7
UoHRPQcPZn2mJoK3OwErWTiQGGzlulSWS27Cooqij8RMLbZuWdhUl2VbDuTT79obPdIMKA9qEri1
lENSrCVJ2a9QxIeHH1RvwD6BXlmCr5iewlNUuQ5D5Ucy6m0rqmHqZLEXBR/SgsOULypgBR58BzaV
lKl/nWPWFamgmY/+h71z240b17b2q+wX0AJ1oERebkl1LpfPduwbIY4dkTpLlEhRT7+H0qu7k6ze
3Wjg/zewgHXTjSBxlatEzcOY35jC5TbDPF3VjuhULMnUz9sZD+7xN1b33ho0cDMl+EQIIDN31zp5
bOqnzPP5kWkpWcwELXEubB5+No2PX2MeCnvnjzNRpxxlbnFqu6Ys7hmyxU41xL30PO9fsIc87GMR
COkdW5ZzjMpEm+vUDlFvUOBaf9d5+FoTjLrsl7Iq6c08KdLue2J1+WzCOlf7OnPqr3bhawyRfSVS
9AHM30jPCrXtwpo/OwRoVm26HIPTAGHODkbcyXZUJ16XBU2pN3g5wh7FhEILjz+BFNL5pvIa3CaA
1Xx+CJrW7T9qBGR7hGKNe8OsEXsDnA3f6AwsZ4MkY/qTO0xemGS8GjUyra8JSu++eB245g+ORZl+
XPg4uO+jaqyKa9eN9EEaDy81165YksDkYX7A7EeYxCl5uF1arcer2UbVfaFVH7NI7YN61nS/mBAX
pySuWkDjlG171YRzcHZGErQb0Te1PuXWdCJhFLzJAyoR9U54gzCC0Kl0XAplVMyNZj2ygO3vq7x3
5Se3XXyGKSwqMPvYjb7D8WIqGzYicsr86GSdeRM5cXRSRSosD5IT93ZWTgZhcOqV3MhlwiGVHriv
m7msFnqpw66qoKRqEl4FrgjmxKK6URsjOlw1wxq54nxRLWOmFEiT2Z+HVFdADXcL63H6y2DOo9Rm
lqgk61TYPxtq3YdCDDhryHT8CWcdA6+GNy4CrNfxYstqEZp4nl48NhnmxmWpo0fqNb1JDc3H4CrI
Kqbv+kzxAckdJ3rTSR9XE42Dnc/SH8v2HA2d8G+8mVThIZtbjs81z05+VQ5OZ9JaZYgZqMam8aqq
Mvz+Ay/zrRKsFKmZCTnYPsB9b4EVyDjIRPSL8vd/JpL8oLb8G7IiqNH/90HTdvhQzW/Ll3/Hbr9t
hPknK4KtbXiCJMUuxsiPMGFBj/gbdkv+wdE+ehjsEPyLVWn5fcKEP6OxdH24an6UU+g/OJ4MD14k
QkuGB2oEf0dOgesOrc+PeoqHWTB4FWxw55SuS52/b43KukLKGLPoks3qmI+9bq5G49kwKWrddcis
clp2zCiFOqnO56eWC2LTljedOI2FeJl9dY/SwKZCNWViRgCSJk/LBaydSxovbd0qjFtevIF0lrHf
ULmxjkI8wF2Lp2WPSVg5L8hDd02NeDu1bnk7Rp24L0u552YGYpJNSYWiKCfSuZRZw0zc634z1E7+
YrtR3GSZkOGNqGx0QxumBCIc5vKAvaqxTWlWk+YhRH26zQYuzEbNbjai2VFCPk1BrVD7l+a59Ljw
U1W2eymKwu49MlyhkDmaid7RPLBpFjVPZKkepkD6cSu6Lx7E6jgU0xuypkyGsdhgG+ubWAP64ASX
cPKew3l+moSkqO6ds6Od1KkDzJakwp3adW7KLJAM1UTBxg3Es5f5LKnD8tXL6X3JzHVRQGKxjnzH
LPKhnoIPEhRyo2p8KZSNt5FfdqDQdL83eP3Yy7vy1frIQKWRe7Jwk/a96OO6Yg995XrbtilBKqNZ
iOfC24sRVZ7WQ1obefCFX8QUIFmMVL4AgSibjVf0qDuJPfqdd5t5U52AdUCBE3j7tsRkxWOlSbid
vYPV7so/knfS8pRNqkYhTrNNGald3fDPuWhP2Ix3Uj5fpRHHif2F30dZpRNIRNs5c94pX7YVmQ9d
1l3yAd2bzoa0G5ZwXzejAPPSfR1bB2imNGU8OfUXIzjAadt8wpEeY4/raB8GY7nF8boNXLC3I2sv
Iy2cOFiyG3QWtxR8X5wL9y7rHGcl+QQo6oEmBdUqwXlLATV+mgpviNt8PI64gqOatphzyd1MgyUO
Sd9uwFYfam2v554+u2q88FE+FCNUDUnUU52Lu7XQSDsy7dw8dA5FOPpI98OdjbIHYsjt0k+4RVzZ
pRbFb8ylBCk+ZDdTtuxtlTkHf3a+DL0jUhJ05c7SjCBL8ioxExDdnKodi0iQoq5ajm0XXRcojbct
0PSkmxo/qXU1xn1gzrR036tKHuXEKkxq5FVYdJiHkegED6i7Ixy50oL1dXEDpIFbfB5IZ7aWj9d8
CD5pR5AEt7qOC1uHiZj8r7WdFihN7d20dMk4RftlnQBG0dqCNu2SjKV+9MzS7J0ApzPLQUKpSn5U
1lt2UxR9oobeey6usG5LmVSDd2CY86c+Y2ehMegMwU6AVw+CremLa5mHaeiUd3WlL7nA2TZixc+K
ciNrfgMatN+G1ah2pjN+2g+zjfsmfDBurxMykK+ZF7wSv/oCb8WhNz6JZT7SOHO8j0A5T6qIeFLX
9VNtRm/j8ene2tHdybB+aW1wok5rqY7RKKngGAVzeOsXrIvQTxMLFah/800DvIn2uMtBd020vwqd
edwsZbujenkbfO+lh29iz0kzxx2PbpZJNykbBUuDIQzxUf0m5sJ+ASCiDiQa70UzVgl0vWoPDc1C
Pi4LxFr/tQuD+7FG3W+Q7bdQrjB1m8oiLbquAS9ELnoCVVJS/0MvlqcNDa+KwtMp2N5oX5YNT7QT
VDFHRx7XxPgA+MwXR+NOdlXg70lm6EXOFNiR6ueUOZ5Ifa+/M02ojpZF48ZFzVnKZsZ1khj0+jaV
MAikthDdVR2Zg62z17qZ57R2gnoDkTyPIVVVSTcUX8KoiUDoFsuGNtk2D3y7D5uhP7RdsC2FJ1MR
hdWWMcy/EQ+XXVP0rwOjaJqcXW6yHfyr4haobwg6S4LpVRjI8bHm29lp2jgE3ngbwgWyBRt9QMt4
LiKZb8e6YDvVa2B7mEYkmbb2KKbpvQStthWoNI9e5xcJ7ZZpU855sxdNszwupsa1MdbZUpa3sdPg
uubozGI66gNajSHGHHFJKopqt+LHjC8nRy41eq1u2GblcosSMUX7f8+cKDwvqkfDMS0inrS96Sbx
0HiLRUJ0qy2IOBlPwhmg0o5fwr7WoLgDtpvZiILVzccElNYcu5W4GaV302QLSctW6l3XLSd/zM7g
/NKyX270oMqNX/Qk9TJM5mU0XDgtvrCmfqtUBiYp4lkcYhYCSJICqmJ2k4W5TvKlr2JCzJM7lZ/b
0rmpBnlfAupL1uc1bYrBDeMh6D6qJfqa1wQ+ED9Q6SADvKT0mtRU5KWDRBLrSV4yPrVbLMjTqemH
LGmz8tSwmuyLucifelGBzcteQhTpsYdbFwrM16EeX6jvxFSMl07jKAdj/SWjHt+g+S/RsldPU8sk
AEOpgRA4twuBWcep5JXb0QwsX3mqAM8lAXIqdTQCmOt+zEztoyk7s8zWOyLtscoanvalExe0ea7t
cJkbr4lDC8FrgDaBC3rslXuiVf3udOyrmZ0pDsESQFDcZ6r4YI7eqqkddwpiherwt6Z1nkhBoGSe
6kKg040OnSo/86l4Q4eTdNohcTFEh0lm66lhMIqEw3FRZltBKolljfFP0anTvOA8y8wbtp4XfPjw
5cQeje5lkeMfI4Dr2j3LoXLjgAC1gA4vd6jcXlGBHeTcbntUOrE/hseFtnUydfI67IFWcPPs+njx
bm6hnBWn0oRi59fjlyAHsBllDexDoFKj+mYtYlwfCY83+Y4Kt04t8y9zKR8HY8BqKgJcvetvOsnP
1st46of93eQMBvYE6iZLUO+mdl5S7RWb0DU1Bm8di1Vd51uZ4dZpFh/BYrD3te7x0VijNwJ1Z8wq
uXEaOACaYDhEvjgaW3wVLpXb3LBr6xa7dtkpDrKW7QbbpO58Zk75ICoNf1IA2ZgwuisKDZo2QiHj
L28+M9vQ5G+gY86BNw0oOYjAxeo/A/hctQyYjJCI9XDC7fOQW3ChcmRPbhfFc9iiCQRAsffzau+1
1UGPZZoxv7ttwgEuDkzSQ7ORIGecZ6HbliTgbNVwLGd8ZD+WaGf1tq20Y28xpnttCJVOGmRtHudL
ZCQEs/LYgnmN5xK6InHQYvJ8iofW2TqwNKRN6ZitDNo0qMspzXT7KWPusmmY7jF9y13IAgVGJM29
CULoVX7wFUPD50BGNK5ReDmZHLec8oOIgs9dM9/MEqKniOCkEHKsMQbFHVKWQR9To93YsXAx1MKi
LiRIbAopDddvvXaozSdu45yLcz+4QVzBkDKP0UWPEsxUdHYxJ4wbVXx2uU0VD87uYlHdtN0bcosF
RQn3W8MelZTBcZzIxwJ9dbcUJIytZvtATzd9uAgUeZhhoJWIUdcYgBzN+2DqvR8KJ6GkXba9Cs9B
jyFDqWG+hM+E1q3ZI+6eufF3kaVIdlSp/aRxRxce3hDgclIGlYqVq1HeLGG8dAV0HFS73C1fy14m
gbguuxIRwMaQUQ50AJPEmb44qunjphuva1q8wxRRxjCCJMbKS5uTC+XwWjX6EnjX4VhjDNKnw+Dk
R03aZwjXh1HIlzEaHzveDnGxkA3kgzmM7udcJah7L7b3XmXn7rlyEBnr/LDYaDkUU/WKX/BRSPCx
EWrBjRg7eUJUeA3qVj/Xi85BPhWnGdJaquCkSWy9XBltvaQP3U8QNT7PRXlrTPO57BhIYDXiJPCX
irYQEcRzjenV/x824t+voV95gf+9of91+8f3TMU/Tbj4uV8JifX5heuiA5/i8cMI0NAIfmvp8Vxi
eC/A1sEaS7mPv/qOkAApAKzid3jin4QEdmeszASHDRswAby50d9p6d1vc8IfWvoAju51ySXWNeCR
AOvzzb9v6V0YGKdyCNubeSDRttGBQb8ZQHALzF5Ew4QoY5HQ0ZFc40OQE+RjINkhZP1DxUj7SdaZ
ugLqAX+R7/f3xRQGewpZ9GLKrHvvxqyGLK3lWVQ4zesNJJOOOygwa9eZbxSy/HWPydOLQ8Jx62aw
0SQZhu8p4IjmUuYdf2eOuMPEh17nruscPRT5kOHC+hETbfpS6Wi4Nx6FXq0EsPqpaSGrTg5qYGpb
sNNkjIWvvI+WTtUnSqpmj9YIBXCXqc/a52QjCJObaOBmFxVmOE1Cd7emaDbVhNAJ816XauMG+lo4
TaC/tCoHou2i2rLzFt0curdlnJwPpM9CXERQTT1ITNUM15HoVnTdncW9KLgTMzNBL11G2OPMhXGn
DWOSB2IOkB4Mw3ym0p1xoP7mlTyFTuPYWE6VfSu016NgNnzL+2x+CU3lf4ZZhKL4nMNmCxMZPdop
tPejaZfPq18azJ0nySk3pUA74/Jd1un8DSdJIl0ty+dMieUjlPOnwem3TS6PTgSPXu2GOjF06PbQ
EnPkYXeyu9Iy5wQC1J7Ldu5gKeXlHM91i1wlTS63qh59BGsNc01X9s9BJKtDxd1Hv+zFvnN6Gwti
NCSIYdyHhQohuXf1YXRG/tiRPrzMHGVp7bWcxN5I24dMEdjHAL+/OZFxjn41ojGY6+uCuU46jHre
acdR8wboQD+mcyY7sK+tOtgua+4gtKsDJUv4mi9ulC48Kh7nrCzOUREUV8rpixc3i1q4iyJ7VuXS
vizT7JxwePPEjxqIKPmQfUKXYR6bYqg2KF/kvSPn7kboCq4L7kcw9QSBRjJRgbvRBRcjNCKq0nyw
JkpytFV7T3sfPIRjtfKP0Wx85P0Bc0jShu4H8iFyGASAmEM2jkfD6H9i8RpT1zUyfxaL/7uCrfD9
88+h+Jcf+z4UgwXDs+rQJ2FlGKL0b6EYC4cicGcEOwp+suKB3ycBLi0YWzxDB2v5f4fVsA6aBj5o
Eex85rAHe38rFP8rHxYhsoerxQCZAnsrf+J22Jz3fGJiwvqBsTuyigdXQzOfWFP1CZ2GpxC6Tl+M
5b75ZscWrYI1e4KR3vZQFTG7rW75GnTG0t6OeXBsVY0+oIKCiGIM0FXpOjtZ6QABHjR7qcUBk32S
5B2cOpi95Ci/dN9s66irIHTk3QuUB0QZ2O3iCONVuHQ86Bx6dpYjRS0pssQyK49TVaZoAJz96Ayw
5DYLeC+S7awLO75wS36oplw/dZyxkwdv1RXzG4AV8r6bfNFtWG3JtnOZTPXgkDTSHJIJ0OoUmpQX
eyHsfIPLT2U0jJs+dxM6euOWzt2FUaFj7bd8qyv0weDkUf+KxuwHoy6uUjwZm/5lMPkZ+hmivE09
5V2RID+ZBTrhWHRTLDFnisGuQzNT06bBFYaTEJse8Gb518y04SvWL+hs268KFoATsABCoWQbpjtR
+vfsG/veoTodb6Xb9HsKIL7pRbjvYW1u7sOR8AH9/Wpg96Ms2Pku3McxhcG9XJ3u65Y1+Hnhfl/q
5sYW6hIG3bGBPb6HTZ7BLt/CNu/UYdrCRq9gpycFHGiyezeNdydht/92z/y/nt/8+xVy5E8LuaRt
xm9PBcCys58jCMWw5YdijvqQ5jFrQUWHO/WHCIIAgQHML67cdWPKr/MZPIqH4HEfnHrYCw88D3Xe
r7grnp8JbwWehRvSb0Zf/nciCEY6P89nkMQxtcdrhtjZEq7M7ffFHK+jhTfwCl6j4gKYhA0MLTlW
sxscmwUcV1KgbLJFDt/r7JxZA66uoNCVTBGmAss/YncsHuZ8PJVsvtdkPtsMvtdOoLXDzBLDZ7mA
6RmfTG0vUY1OSYaxX2Vt3DN13c3zMeymMJnr/iAXsNi1UtAYYNrLIj7vBt//6jPIVubbQZalTTDg
9DZD6aAsYsF2KgqWBBVYJ67Eiw2hX6gqsBs+2jolQ/cQhNMUB5PjJaBHE79bSGLNGAc5tNyhyZ5R
eKSjF8Kkq1RKpXkLJ3R1WV+n1I2+wIgnE3hHPoXgB2JQrxDQ4d3vZRSDkvkU5gEE825JMuNvBRsw
eVD13gs1TXXL9mpG8LWBhjKu5zfbZhjlzNekRRtJQQ5LwiWWgpS7spwPDPjj1p3NAAbWgX6Qd+85
CWg6u82nrqVFjEUOfppN40eYectFlfazhGR1mqgEpke9OhZ5CA2EuXeeioY0AOSVyBUHaNXMd8aU
J5f2+oVxPWDjQzuMW8CGUFwiuQlQ4Gwr6xNIkDOAHiEImvaljSfIEleWsDktweduGXy5aVbB9DTC
Yx5DIhQbRwJEs0Rmm4Yo9JykrXaMm/Heg1j9BE+2SFsCeKNUFbmCYzXaLqYsX9oB7kkZReEnDXXn
Tg1ufyNCTx6YO8xnLKLxMX2p2iPgCrQTkGiKc2ZQf4Mtms/TsGDtw1KT7G1m0mEYhjv9ofHIbdly
dyOE6R6JxRe/y0BUvzoFz78GrJo29RqszYh9KyXit61hAldrSNdrcFcDqB1E+9Eu+NbNBlPGM5r5
FwBWPHH66TKsiSJbU0ZENNqbNY1gTwuqNmSWYE0xfU3An65JB9kHUFoel2tCatbUFK5JaglKFwNL
JK5oTWHtt2zmyfvol/SGRNeuKa9ckx8H2nYIseU+FmtqdBiSpEK2nNe0CfIpnddE+p9gjkqQwjrw
Z5XguVX/9d9N/lF9qH+N5euP/loN4hHzYYB4HawY7Y+zdozh0V1jGULkgw8H//17LA/+wTzfW2tI
eHPQuiPM/xrL8VQuzmDjpNCgsUnh77k5kWR+mLQjhCPzAGrCI3Y9DOrWv/+OFi/A1TDTwMoy1ZuF
RuCwdsFfGRKwKvsP3sWnHsXSVcgAwAd+fJc+w+oTutDiMraFrNKWEVjlsJsJPbjvlZvCB6DegrQ6
RzkDbteJIqmW7AQWprgjnbitJNt5VMizIWRKievQxGVTFVeuJAnJUWB69WHSWFKj+b6b3DMW0twC
Rrvql/Y0D/61HPIjKUob1zrP44L0uA1tJeJsghgnPf6O9tnEwB3xlyNaT3jLvkqKxTuqCcMyHrKJ
I73g5+fIweAH4/rwaACI7zIzR+noKBsX3IPtflqgC4CAA0/qBU9gqCLIEtR/BZmsYgfE/k6SUoQb
MfVdhS09ffncti7mVwxj7X3OMZ06uD4kR5Sc7BJaZeddhAEbFGLE2BhdsM+eFq8P06r3wG06WKC0
c1sDQjzp3AjEWDLRerTYmDFj5xjrPecKr9+l8NDHpTNPp9ZpdqwNZBpOmCJx4WEaGzG596ugPE5z
H7IbvJ/yX6nNI3XybKvbNLf+XQs3xXwjXCzA6XPLT3wIo6POp/yFhG7wrCPswWCVXe6xPGEKDqwt
6ZDAzmOWPRM6w+4vo/hj22KNUNgE3QbT+SD1ulkk1YSxfZ/n9qCRAi58mqLNiO/8DPlDfVYiP80W
cqSdmRfzHqy2V8MND+4zzitt7hY9HQsCkzxvXX6XW+qi6sbMm1kutm2HADuXAbKrm0a9fGY11Wdc
Op2GvVw2WKfkpcqDF3+uZnkE5y82EeL5bhwrF704FqQpoT2N5kftQl/vTdBEWJLmqdscS4Q2zKmv
ZFNdYfqFlmaQt0FLkZknLLcIqz0Wz5Vp7pMbxc39COrtMdcz+9quMlZRpqGZw6+tnFJaw7KZ9e4D
caZtDoXK8dpyw516W2ITQDGjsVdh967U+NHI4cMW9qkvoFT4+sjneosAAsZv2QUzEibTqc/HvUu9
84JtGvmg3wh0q752thW2CPgDxsST/dJgep63X4DEu6kJK383A/aEX1W/0FC+VUsYbEDnq+MIAB0c
7XL2au/g594Viq/UTOULTB8w2/iQKli0waaWbe6x/USWlzlTm7zOYLkgfexj8B67gB+xAw8eHnC2
KY2iG3zGO4pdBukslzyVQ4YBmibySgQhRgaZdztWqCPQN55yb8ZhxjS86mcSlxkGuujlThw3EWkj
cBYDsho7s87HGrj22VlG7L+L7icvv2367hzhz9rj53rSt4LLY+V1Gy8Ds5Lnc+xZbGApkPuTCXaR
JB/IpXTK17Z0X7uyPmJBNZaIsWMxubeLcbHODT1jVV3RoEj6qrenJYqgPkkBEtR+6ctoP3Ga8qGT
2NWF7RKLObJ2sYd+wYIM0B/vtcVWLUdgvZPNqyals1/uet7tMuU6d4uFTPZdSrr5RV79wQrm/0F8
X00ysJau7n/8/8fIK6xbKxtWGCX0pbdue7CbCPsF0xpcxnmsfYNOGKPwVtSHuls+3K5Xt31fkge2
MOwLmee7aSjOZM7SkkfPZB53aDu/AmrNYXEYhk1eAAcJ17pkwZmuMljGM6oSU6CMD3rtpREb95hX
vYHhmRJZqCcvEv1Gu6OfuKRs46pJTA9T6MHtygibKJqdWww7L9A3ldfusLXi3Vb1/RQVRwDdp0VV
x37yzlHXnpny+G40AK2VlXtvFhRuepmEGeYcIih2OVqkVBF1F9jJTdBdHInguK/9nJyz0cVGkGF+
LCR0Ch5CTfWsdx3IpcF4A6X9LMsr3S0XoYpDaeiOmnUFWdUfsqZEl8LWBW+rhwKIFc27MzBMCB8N
WOnKnKqp3iOvDTF+ywV5TaFsHq7LorqDvJPHutFVGjaORGtB4mwYbqQPe2yNlioehuIxsBiT5bP8
jHVKJxhHZDzjgLJh2YJuX7GBndvVNA7cl6K2ae2HCZ4rtDeIQ75q31senUmPQV/OnffMDbFBEiVr
OKkZhWXtHpxujWXjWaKO9ki1JWCKsXWyfEFp6yaFsuUmEPm1v1A3bcBEQMQp2B7kwfTU+r45SdkP
VxXYuMOfH9WfLYBrLwk7JshDgCgsWHd6/lCILIOZBw03VzbJ1C+Og/dXhiuUTN+VOnhJKHFoqRmn
kOUYc39yMsHC1VDG8/xShXAThddyknvZ3Q0GCwAHbCoKYZIoNn/+qX7ZW/D73ONf33X93N8VWFNX
jl3gO84Vsc09Ovd11WaDTsd8ygPUHoI3RTIy+hxm/kFDo0k0vDe4K8yKP8g2aYblU+tEZzkG2BZR
i23FjfvGRBClNSkeQ1abNC/tKaqClzCDGcat/HDCaWrazbREzYZBHk/dTrMkaqw9THATvLVNMW6D
pQYvLuUXGMCHDXwvIkUEtum6mCbRE7+fgmrZIR4+orXwDnXu3wg7vgNV2iMpPahh2IYrSu3RYu9j
A96mIKhQKtM0O7tMJOmBkaSDoWCy5HzniQbYptRJ7+dhjKHmCYf+a6/gzFOdPAyBs7cmeJiX4jkg
5ZGOmGbClZpDO8MaqWKUGAZN9FAuxckzIDVt5qU+dpEgwZSIsuRZE4t/XNRXTMy7ZjAbnS04wWRT
jjk8N36XtkXNsCiyYOlQZVcd6K6cRnu3DSG35fO9CIFRzJ3zMI2AGH0fkuUSjTunA1PpTu3nMO+v
BlLf9l0NtHIeMek9QgNxYk39fYQFFmnnuo+NFfs5A3+kh+nShciRICYPwxB8sJ5MSQbbQE+DXd4F
58hUf7VA4K/O+FqIf3faTIASw1tw2opzc5NfnG1/6p8wxzrQfXhmSD3JF8/E9OheNa/m9OdnHbt1
/+gGi3zfhUsbE8f1l/vuzd1OsKZkgXOFAU7cnL2k22IdoHtynqMt2ZDHayc5P+sNVg3oz/hPdbFn
Eh/lNrtgtlP/xW/zY+L75b7zCcpLPFYNbRT9yVJsiakD111nZeSm8zFGIs/D31wg8y2ifP8eP8lg
y1BPjhCQUdv+Ix/23N7++Tf6h58hIni0K8YIsLj+dDXrOVwcAmfWpXVueii8A0XN+UuE+o8WG+CK
/8lQ/duG6vjz8PbHO6rxw7818HjClxehR8caajRQBHnjt3EOHvsE4h3bpmFDxtgGB+BXMZb+Y53F
o0EPOftn2/9rA+//IwjRUDDfh4qLcfjfguV/zpsUci+OOVYZeEhteMrvjzedL7CAE8JlcBH166Iu
8/zy3dfyByVk8NNSktWcDzeAvzbvDNoyPKc/vsOUqWDETrHpMi1043ndVyzkuVRZcUeH8StMPelQ
DDKtAyx2c53m4CE/wPuzmSLgNaETtlhj5++aaNg7ijwUk9gGqnt30Lqjdj9PdJgTNZbwPYnq2gW1
XZ59Pfb+NYwtLYwsEpUMvsSEir7GapnWLhB7CT3MQmVfDSVXvg/HS2pHGaVBIKt3tMWQDkE2bgLl
MeyPyp1PBdYyYptw8GUS6JbQh+VJUGIDgMtNC1aAXUdd5GwqNnziQ+5vXM9dlwQG5qbA3rXY91og
AwNwdFjHTnqQr6XnnZHLU85rezY5cPeqafdNMy7YJds/ZLTa+YtEJsr9eFma1/9h78x2Ize2Lv0q
/QI0OAZJoNEXHHJSZmoulXRDSDVwnmc+fX+Uj22VXC7BaPwXDRzfGQWJyiQZsWPvtb4lyaPhKPr0
PU+lyw7AHvq0Zdn0uuWFVXdrggCSZKC5tf2UyhIe2/7QVXLJNG6+nlIOIMuERn9pPKVLD7VpPgfK
MDogK+kYSF6fxs8dzlIHfoODw3uXQc6WMIgbMHE4Sz3injwgntrltXHUi9rwGnU4ZdriCSqApqp3
YoZTW+r2pyReut2SZldNAFKnXbBTxKgraxUMk5QcdEm/41icOuqipUjm9dtYK0o3aqfI7614P2d1
7BiJgbI5EVu5jluwmelTr9v+KDcu9wKlQNENGzrXhwm+ta0PD3qpoSY2zqIVj223XKaxfhPlAK+w
xW9NfThh09uX87gPpwTtG7t8bo87Dv5Hehe3Asowx/3sgb7zJ8buFFL9pmzEATctFufmCQ1+5TSd
vZW09rHkw+MhnrbSvHxNM3PFOLtNYHhaOh0rTi0OXs/K0Wfw7h0HDEc3AycU5hNvwSaJk8cwQE05
tV2ykfqex6b+PpfJzlqdFlr11DfyoyTJt625StuCxBsm25WN7GVJg+s0h8AbzeExBbeBGB8pmC6Z
wHNtt0aS66IBAXmZ5y+2gqVKqqLBtxbTOFlTWxziWCyeVKEtM8RtYuufexgPdAlAsGfV+vYk462s
JBdSj/gR8yCQ4Zr2laQYN5MlhW4/99nFEMopjSSt9e2sQsyq04IfW3EOmWb4sSE+yYIqBvmH9YLD
F50kc6jSwbpOSY77kjN6PksBra54iM9TE4tjTYXj2XwVDsYPzIQSM8YkKyMPsGKDMV+S/W7RYQt1
QXpTWgJCY97LF5Uw1iOz6nR1c9Ex4KhAVuyhYugOza/EUdS63WFfSvww7o9CCdEIphVHw8XYBliH
/WVSFYf6tMJQvMJF8zi7NDM5S1dXzjVU1xB1T/XFWOZPTaA9mykzU005JchLXVuRJG/OpGOQwuJU
MowiqTAmzOBlfot8R+JVxQny0KfFzTg0Iz0swcmQuk3NXMS6nmYqYGir4sKsTRZEhT/aHK+LXgvd
Cpk2a9QhrIMdNl3Ao0yzl+6YJRKE6ugkZ/JD2oCt7ldCGfjKYkqf9CQwnDZmYmUFAhcwB+kAZeUL
Mh3VXRbMhRylx/wuVfJxM8TaVjNLDo8LBWxkLam/xHFzWqz0rKnVLrXba6UWrZsxFZtyaJHLaHgs
eXsVDZYfQmDdZ/NwL6TqLldR7OZOn3ltQ9uLIVdus+b0h1EW5VOhr7acWKJIj2Rv7gHAcjlKejwA
l9D7G7wHqTnshiQatoWez1uW/ughqLmC2md3Ra7FHgcm+9DPTXIAjH4uOJvhn9SsfQ8IxdFL886o
QXQ4eoKdJVexYM16EGyw1d6JYL6zCmP5DPcBe0ZfthujRy9kjgiikAttUdIWWzqopZvxg04zGP3n
Js6szTrkQBof4+DP9ahD9Vlwi8dqo1k5rsS8fBRDtS/GeDOZs9+35aU8m4e0nu/lKPGHGDtyWUX3
fabeWX1t03ychn0pJY1XBhnTxB5ERSXLj4A9sItMev25FzinqjLHjxLxoJtxD9k90D6rk93dojWb
oJ1Ktpv08vzBAfMnJSLwFUoNsLwoOdZx8NuaW81zwbAzKUAhJPSTKPTFeD027QeNpFV98v7wzHWY
Yxhrff/3IgDiSJ6GUXHO6X+1Qr1nVbqy8vyJ5bIBm2FzA+ZsN0zVJrPSXatGmGhUx1KLC1aqI0g6
GuTpdRT0N6KWfS3CX22D3wuDb2WPimnmFdAXOt5y+PzrAuanf7nB7EXRdTgtr7PsN6cSI+9LFAwp
QBGa++F8JyecBssP4Hj2384+NsoccDvEvPId8aD/eB/QNlYzyunhDHOBRr/Q9xrsREcOavaNYTD8
QBo+QwMqrwsalrMt70drhC04VyxUGi6sJN9E0tJfg4u0bwt2pb5EGSwrGW8JvQBDxcNnlOE5luLD
FBh85yrvjchHXFO2sdwYSvac4tlRCALYLmPt0FNkzJDFKQdg7YvUqKhZwI2wKqGF1m3FLWtti5U4
JRsEavYcCfqU6rdYN58nlDj96oyczOw0g9l3TGhGO1kZk5OMsM5Zpj6ibqIlFtkJoQ9x+Cnolfyu
xmLs2QppAjn4azrWqPEYiw4lW5yypoyAxPIrWb2kNUfrd5lWbkZ2DOTnnrm8Ye5ZFx8tKQPSTxbH
jFwzWzkWRVXQxhKNo6HcWXRKD0RBqWeGPYxBKd81Hf2wXJkOwB+fUxQJX0g/2Mp4WTwzi05qCYxR
a+sNfTZ6dwD2cyEyxgyKQ39suqjN9gM0ITLZ9+8Lz8MqteVxoPHKaO3H5yHQAFrwb93ZVNRnjeQD
b6mG7CykGkZhGz3B3Ec+iS9UEdic4gyLn5ad+FYWRnA0kmFCnzpwE+OinozS+qzpRYQK0qg3PWOT
PSi6HtNmiunFGiwa4ToaAjZ1DyNf7aEqoB5hIZLzsmCiX9+GeTy5StSW7AY96G5g6kWFYy1f4MyJ
ZyTChjsoJbKAXL0X6kztPIee1imeQP2FWEBiCDaKz4klSLxRvwoTil81sgzYGR6q6S6wkT8OjVuX
2i1GKJ4QfGizemsMwylNots6Nm5y096KuftsYQTAdFvKvqh7asF68Nt+HFbDPlYSxhpygBdLEdKz
xDOBjFd7VDTpsxINtVfDWsOSL2+GRUKMNZXYVJutLCd7BCm+ykCA3cjTU5o3ljVemEDGRwUhpUIi
DN7bO22szrY17dtyftZG+UutNc+FKXxj5u9kHJEO6WUZTUezEJux1HGEoUeLC8JR7PiaOJV0DyHI
B3Thiyzw8uoVDB9yLuFlHCT7monF99iUAsjssqv3yabrsFeKFj4DkhRFEeBkmAFqIEEtJcx9PVxI
qqFCTfvoKCk4VJWRiWDnhFJ8ZUQ69tByo6bSRc4uHo2wvJXscajaTY1VFkADxkuFXTMLxk3H9l40
eeX1KFC9LJW2yWhdLEnqmDb0g1EJR7eVWXQXVdkkioUVw7rC5bELC6YsY30sLIOqt8sgvlQrmzQz
D3o4XlS4bjG8YU7VqlhxRznZRXBbpJZTQoYlW4NN05sFgpYrYfgmo7zROufTRmAD1Xdo0h4qGVly
Lp+EwcRgCvQjIxeaQEGAFkUdTLc1FMU1E3r/47B4FXXDDu53C0DA3DUDVYhZksZhBgM9vUb5YGv7
4E19xZ6+2R/UyJ4Tu0qBtrDvD+0J8yCcvJxIoMu0OSmcWH69H62N7B8awj+uDO/Vl2oUFZwuWBnK
8psCtWu6GexjEX4e9d2vL7RqBP52JaQHOr04C1mpse6Mbz7Z2HZDnSA7OS/KHEJ5mNrV53VntCHo
kxJcbDoNF1UVA6RXZOVk1UwRRVJKHCawkYz8Xpe51HesA9dToVlMpPtPaHcuS9m8zSjfOPW4Xauu
TpPJK7pwk3fxU5HoD1KUVTdhj3fGiEAB5UZ/YSR0ajXFnxXiAyjxtkWnmQ/wAG+rhbATzTj0WrdH
p3WxMAY2YFyBlblo2LbBb1ykKpk3vUT/0nKnSnnIq8aPs2A/VozvsslyOiN/XuTZcGGMPdaT3Tyo
YdD5aquFH3yrP/Zb6Cty+95+qeLHLzUVOgPYwJrO1vQULS+z9RFx7YOb9m7jkKWMGpmG/jm2bqvE
dmrt/oPH4tcXeE+HhPmayqkazmdDvYp1Aig6X47mDxrR67fw/iFfpyyCklTBkfLu0ZvMFhaUzqew
VVftvnRjTk1yH0/mB3djjVd/c6G1OWUgXSEjcp3rmFSm/PubZ3xO4mIMl0o9U8Z8YVPz7rJN4Ek+
LDb3wSmch71wh+PLTexGnyb/OfPnF97odqftf/2tqmuf7f0nfrvhvysA7SG2K5scsHO3GTxEKf50
22/z62hj+zbm8o2y5XvekGrmyE7k2141+Pq5+PLrv8L42V/x9ul8N0XLgjaz1Ibv/fO0V33mqRv7
ynQuW92JvO2D4R6Fl2/tc7SZdkyjdnd4hLfTjnXPWbaQQVuP1plne9Kx30Hxu4yYYzuh9wlZ3xkR
5NbY2/vyAunzfb65/fWfrn30Yr37AiW1jTNm6TyXTulUm/ZbtanuFK92UVJ4kRf7yCsO5fbqy9Hv
91htJzc5JI59SM6hy+YDxc35Griffv1XqT9CJv/2uot3Y4QYlmhjCv6qaG87kbvskPzckdmQuuAl
hQNhyp0d5Ivneqc+0Ujzf3399fF9/1S9fY/erTYsNdLcVvN0lpfSN8fxYpFSLPbk1/z6Ouuq8qvr
vFt1rNjShmHJkNtiCh3GL/K0G8XLrDEW7GhFbX59tZ/f6j9Xh/cdZQmAhmbUSX+OzJST300VfjA4
+egC7wYnCG4zIbAxnlPjQk3oA9qm9+uP8MGNebW7vVl3SPmxCsJ35nNZnds83VTq56W3PrgrH32M
d4tbq2RtMphJd57Wu7Jkrj0l7v/b53j3gPXl0vZFi856JAUwFmdwii4xcb++yAdPl/luVRJBKM00
59gNJuHqduGnWYfLr3fNuXWTUT0PgHl+fcmf3p81U5R0b022V8LR233BQooZVHHXn3Uc/skmJRKH
kLxfX+Ont+fNNd69NFmIpbYG63U2yE6S5Os8/6Cr8NEF3i2JS5pPWlLWw1lm0aYZnTLH/PVHeN0f
f/XirxvKm+cY4KGlBhnPMWcDp3axFe/SE0cE99C4kR9e9h8OZle76S/XmvVTv7mkQv9P6dSIPeoz
jeGCVZUEOqd2xmewrPvBuVrcin9wDB8oiGNdS84NcVHs6leP9ZV24NQeOYk/d86ucKPtR3Pjn27k
b5fc909O3IyyEvDSKZfrRi457TbT94XiOulW9x4K5yA788V3+YXDWXM/X4zO+MHqhZ/r19/Qu/s+
SK2IanumlvAGb/HmBX+SY19k3o19Fkdt23uP6iZwCjq2m2ZbbS1X+mCF/uhPMN/tewhFJb0Yq+4s
XZQOMJXFSb4aGxSUF/23aVf5+dHcSlvpe/ioudM2vQy95NuvH83Xg9cvHk3z3XOSDhrxcAWPZrOZ
NrVDXuNa1e1T927YT/s9iBhnOeOIf0B85uWbamteATTweh85sBM9faSteD2Y/e3v+et1f68osCSg
NRyV+3Pt61uxFZk3bZbNcsQC4HwJ98Emda19taOpd5xc896HgsEt6rbp5jb21iLhP8XBf0f3Brf6
n0f3nwgJ6H8WLL3+2J9De+s3sXqhNFMGJvmK/v9jaK/Yvxk05zhTQpCX9bcOKh0PpkLzlkk/I/o1
FeBP1b1GHKKuCqjiMi27fxkY8OPu9PtInZ4GeYwmgDtsnz8ugZMshUPTFP15mVN3davQDnRiK/9o
dZfXxeqvZ/b1QgbaAKxkNL5VzD8/XkiBx1mLRK/Ocm/Y94y8JeHmJiLtHQo55Nnaq1S7bYPllixS
urGrkhtTQPhYlQlRO6vOWzFX1/Xv4m9k4NqrIFy8isPB5SAUH15F42NQDwN9JZpmgz7EiOmljFyR
rFX8uKpKFa5r1tPkk0ImqHEbFJ+xZtm+YS2N7LXFFyPTx7OpV9ml3ssVjewqzeggBZPmZuSuSdkq
BzDjsdQu5VeZwJAll82qHMgxiQJVvgL7881AW1DUIahu+c5kLk8gw9ZYRQiqzKdAy+XberCxc9+Y
8n0wzzWT3zxm/oW6d66/R1Z0syBvUJA59Npwm609upFc6keTzEpvPeCdQGw1xBkb4pDF9qkCEOQv
i8qOJUnadx10+Q7kpQz1v2aZHILaieEd+eq4BgXZ57YgBXpREWmH8aJuu8K8nxXpM/2UGoFaRGO/
60LVxCpEhyVkqu+rlhz7ZGPwK4iaVVLR3Dd6B9RGWEV004aDhNZCaXx7kqfPesZZBXojHcQ27fF0
Sc2M+W65qUVnHSJJUc5v3r2r35+ltxLjn2Q38Otwy6w2FhOZCO/M2+28nhuU+5PVnFs/fx7hUt0u
t4icKSa6XbEjshAJus8g32989vSDvtF8wpDdD0Ng/lZW0AcgyAP2EF5KHTXpj38Hw42xD1vSCAI1
PODtmNyUKSxNap0xlJnafj0E5CWrAuluYMmn0GyCg8I9Emmdu7NJdRrIBLCry1MH8nTTquBzu64i
xXN5MvHSYvGTcIws00OdVQjPm3p2zZaU74mOuKNEiDiMaPJnDeucUrhJsLi1TkDaYti7RVOcWVW3
jKgUp+4aHgpbB61UAKbS8SHr9P/lyh/xj6kBOIW0IPh3lf7meUI64VCfx8nWtnVIN5ee1n04ljtF
y0/9ZMmOZFUgknnQTLtmjCInHxzNf1xE/nMGlk3BeikwKr1PCbIXoBAVhKqzPJCdxUKQ8eHlwkX4
7gNCQ3NSfzS0+3kV9uaa7+6mNMHbGNKwPcNRezSCxp36sPSW1oQC3J/KGtV5KBA/mDW96awl2JzY
E/wOzKUsyTiWsfVZjpkKD630PUj1DRlczIHEtRwsX4ywfoIwyTABg8DvssP/7slrOfTPe/JNPHyD
2fiVGo/dOe7mv7iz6w/+uSuT1cO2q+rrvsv46y8l3eqSM9lyUcBjvgMm+5eSTifX2EYTIJhu6yvA
5u2mzNLDToXBiAkviIR/Y2t+fY7fbpYo/NDlse/ZQqgA7t+fhdTV0sy6e2rKuq7Mo4RtNYJVSCR2
jspFT1IQVKqWepEIFEz9Y79slHlWTPT0sXFpccS97EvS4shxkPYGePJTn0qzN6ptcZEHdn47a9A/
ULlUxyLuyi/w3seDmo/pra6AhNHLBNh8N5nfmH/pu5LFY4MZYhVQ1135FMmybDvSAJKsGdEo2dk2
VRU2k6wwXoZBKN8lLV6w8griyewIIiExq7C+LBsUlSB1VU2IO1/H3zF9l6s874M7FbTITV9JWXQr
J7idOeuYSr3slypiPWmYb7LPKCbQdS7IdJXc4QEZJLaiebQYoeEsHK6bRrFGhgg43rxgEYN8FqJK
/NwAuH8vJQtTpXpITRNkmagZXDdw+x1jmOuntO+1vT7koCpV5HR4dZymAjXOfNJTCgPk6NDYxsVQ
MaXDsyMQ+kQz+cq2TFaKVA8YNea40DQgEPg0GGGbxPwu+s2itNBX1QEPQ2kmX5CHRYcKhf1yMpK6
2zPpiIcbhODKZm4MAHHoaHSTKAIb0rn0e5fgvyuC8ssVAbvQtyZ+zv6+IKw/93ZBQDwLYAo366qw
fbMiCHAGxJ9aGEZ/zPXSENCinZUhELySqdYK/g9trfob9B2DhNJ1IMAx/l9pazkSvKufTVYrhJzY
gVV0NLb97gyKVQkyCnih06QBR6b4ki3zVJlaFXyXEXYa2DzJlyZwWwNku+wQO6Zj4QRTMvrAXNKb
QAUvZxUBLXNye2ZHE+qXEHe4W9rBc6Okt2mQ5ldzypZfL0LdaIYS4uST21MpxPeoshJs9Bj1laKN
N1BDNd9s48bvBGkrgBmN4wLibS8VWccBGbwqxiVmzW4CYehcYQhzGEscQf6mF7aIC6+txnnTGPaa
K4p2IMvlys1tBYgxwO2zPsyH1IiPVtkFFyjq0k0q2cDobLzL1EUic3Ii3DeTbUZIAyZAcNqUukpq
Vl49ZfGmthigy7r0mAnlshJTcTCj/k4RqMeCHLQgCMPKDe1ZOjeJ+DIWyDzq0lS2oAq+L0nyBKew
zYkcV3I0BmZwrPRkvgfcFXh1E9Ej0sp9HyXfunBRH1XSq68XYNqbQWS1Z7YZVqV5xSRAhrEvBilQ
fDHK0kGvJvloIDrdxpFqOGHTi2NjmtcWItnbXMn2YzTfkRtWoH8t9K1sldemgLNqB03hrtuYF5Wk
VyypuRIwUQNPcyodlQjdnDk3kcEwnuCCQNbSiy6YlW4b5q+7xtI0ormMuHcDqSTxaUaYAZE6VIKQ
kQa/ifwTW+ouK8tmx8BPIRn7qpvVOwntXLxXh3Q5NENhX8bDjFqjXCxYjkRVa8GlDdYRrGJqfx8U
Oz1CtfI4puC7HRpl8l638f+uXjrnh3+uZ2675yJus+e+/fv6tf7kH+uXKv9GYQJHaV0fBJ6Xv9av
FcjHP1HrGLy1r8C7P7wBFhUNIjEbAx/a0dd/+mP9Msk51EnbQksGf1wV/yqqGV7Mu/UL8ZEl8ydg
d1trrjUD4O3hTLIkLW2mrLzsZ1KWTolaYcIHP5Woftfl2ZUZ10Pn5plxNqr6qo8s+Kzw6Bs1vxuU
jNByJT/WavOYzeUha4ubmLNyhzcZmU5wAjhzgu+auoU5bkMNwjF4jyMgtoclKb7ZMZbDclBh0aai
hHVOsZTriRMhxurROHmqjmo465JTx2QfezvKUm0olBdiep0J03G2QVlvKeCoIRQf1FR04TZVJISi
8sBqxrFfS5jASTLuoVXQacZmvq1N+yAyZKp3WtCRPhHkY9Kj04emd2ySuH1MxqDwenqL6mboBzBH
XZ9cmNj8QQ7YRjvCZCL9y26tJtmlhTksft2Eck01syKisnF66QV5VGNWPJiV0bsdmEBrsGnDxuK5
CsrAM8d6uk6sbNxofXmKA7l21bbT4dvEfr1wcIlsAn2D4V6Vg09Ss+w7U7oZzNwthnGP8twbpO44
jQZxpoLzaCXIaFFv5jZ+rqQSc6kpOWXXn5DcwP2TKsz1iI4bW7kZemkvFNUvgvoMDOa7qjVOLo07
Je4OhMbswqA+sjqec3U6Q3N5kef2xo7AzSbiPrUHaPMm5/XwUkQIpjjj3mbVgqk19rJK3o5Ge9N0
lqdNIwx5/SE34Qra1rNttUh7x961ciA7if29UEpfz8RZG3t/LK2tDutGKdtTELdXdto9wkb1zN7y
Kknx0TmelzK/JHTPQcRIUKG+ayf1YRnLEzxfR8+LM/fSrZJxQxrlOQnKM8j+i0UzNn3XHRIDxKqQ
n7Agbqy4O1Va9xKWyMbXWx+a9p3ekAqZK1tLTEdkYJ3T2/K5Vylf6+TcCPW6nke3W6R7I9L2GdAX
NOulh/d73yKQYizKPlB/s/XWHYrswUyi+1KObrpI2gSVcdR0a0MIwVlOhgwTtHIc9emFYrWDZax4
aaEcg2E5ABt2SdA7hqaygfJ3MU7RHmQamTZz860xVfQ/000zYysOwsG4No0G8PsYnUWgn2YoPZdN
hrwtJ0kP84RaagpRBHxfxlRfysI4jgqPVE+cUsZZ163FWHlVa3+dQ4bGEyT9XDuCIb+e6k54UwX+
LMtMD/3ZUwdEQGo0gZE72E71MG8kLXhamuw02lNEkEx/l5IxpUmaSRJN16KuW0C8pQXVTq6brhRh
3QEzTSxDpJwCXb/RmxjosZ5jrZ6443ALr5JK2rYA/SsIsrsqSiVXas1kU0/KqUv6bRqELhGLDmiI
3ufp4G6pSOrsvr2qiYRyCx0ChYZRJJrbiyyPL1E1HrVa2ira6OeiPlcq+/5Y518qPedmLJKnjjTY
kmDmy+rEtZFZ+5JIHq8pE80pKLfWDk7nSknvlrJqu2oEKCmJqyMFTw+5Q3JztfzcmTpqVTUfXClf
zr2inQBSfxVajXPYon1VoSifSOUgP3y4gfn+qbPFQTKQ50l9BhepqFw5Hk9ME2Zn0FkBcgkBok3w
p6fWAfDuGPVl0s/HslbgjmjxJd7u+0GAtYqi6S4UBs87DqlCgl5gpZcB4XQuDihMNzjEbRpHrh1H
Nm4faTwuSEcvIgNwwn/3/t/JPpTx/7z3X8RF+JNtX+GH/tj2GSHoCOpsHKSCiIj1WPDHdGGtCBRD
Fusuzs7OgeKPXV9QD/AfTUrgkGu74q9Ti/EbzndmCyrHIDJBzX8FeHzVmr/tYyBDItLY4hSsCwFx
6F0fQwm0bk4r0zhHi6Q19yprPM9LMeeKF0VSbzpW0qrxqbVSDU6YmOqtPGbXsqS5wIiI1WviqYvd
zpQDlOKWaOt9XjaMIc1BW3XhtDx9JgaHUcvGyCmzckmvS3JyKvJyhBI9TSNuMVwE51kUtaev4TqL
ObEe19ELKlLhqGsED4e7iHxWyZ1I58EEn/LepfRKSO6JlOBz9ZrlU8IhnL3sNeOHbFf8R2vwz2A0
xH54Eb9VuGU/d8VJl2axm6NkF+Np2jDRHn25K9j+i6F6QTr/FA6JAEGWB8wVik07xaNb5skOiMoO
okFHclvxIvNubTN8G2jM8/s4lL6op6qYT6WeehOCAtfOltQNsuBOqa3rHP2yPQ/bZLlWOnE/Du0D
7ilfJ1DC/p/Ju/r/j5e4yvn++UW8yp6/fGv+XoCvP/XHm8jrJlPgGkII4z99wz/fxLUA1+FucdJm
JrDiEP94FW3eUd5QmwXewPAKQuvPBoIFKRFKFdMyVaFdRG/h//xv8sLCb+V/hiG/h7f/9f9vhyPa
Ox8AA7hVnIiGAmQXXnR9bYa+LcCHeRz0jt4Srs8hdYkDeiiH+cYk3c7P7PAyV+rkC2kAhRPP2p1G
+q07aFJwa5njdxJvNpwedGfRMAIQAuvLRWY5uRlmPhLUlyZMFbLo8dnBjbihHRhuZbsM0FBTmufg
ZaLKfOm1+FYMy0OUd8RjZl3vqJXuTvBedpzbyVHixJ2bbGSaXWxA5N1yLW/saG8yTkG03s8obK0+
cWnsnbrUvodBHrGPhl+T1jrpTXAt69NlFLY7TvIUJsN8rdKo3OgIypwEisukmqVvgTpzTHViVodF
Lwgh8cGr0uo+2cv6uoHDp1ci5i12V7bEu3SW38+V5mtpsBXpqzkit9l19Tt8iVQ/ttdrmo+xSHbq
xogp8eb9opCj0RWRhV94+WTYX3Nq8UadTm2bH8yh+wyaCCZ4wqlE13AV93NA0TYwMDCm+Rs0/f2g
mBtTk0zHlqNPoYJdyLYkN7Oy2tGbHLvFsktU83KMTSZsoRuWzadSMl76HvpGmW6lFEOtZrp1q+xh
1VyrdHud0BA3Ft9QEMMtksqG2Nfs3Oj2jYjll3RawE7R46ItizfUNsf7XNUfE8s+q5VJYToUTC56
BYzzZF4oiXUnZVrhikX+FA9J5hC6SSkc3FcT3Z4egHZDEdlm2TddYhkepLtK649TNN1QnWxkIX3u
peRLZieGY+B3cJsqNJ0lKy100vV3c55v5Z5QkFq3T9ym44izp8Y/EejfSTrxyb0snLXlXa0Ub7yj
tyXrrUgsqrfQJGMB01BTlE9aIR41oENsONOz3hPqwENO5FdYpA7x85Th2VfK4ge70ahOYfyQxXbo
xUzzrPtKOBDJLJG2itS3YRyjRQ/qKzTjHYXnMHmQjYk6kebEkyLkdrNmrd3g9FPS8SUtBSdHI2KU
rufqTScqn7EV+UV5Y/ttV1SHIBzDs9qXn6b2EZSPxjv3iGYdF1Yt7yJSQ8Gm6/dlPUfX89jY+wBi
jlOa7bTVhyB25H7UAXkqiI/6iHm9VH03krGzKcFJBr0OoiCZfQKJ6+V+YC6W0uMmB8YG9Zvqt0Wg
EYYhhdqnWE84ISn9rcyRxwlm3ZkKqJ32OHiZlSRk3tpbgnFbT0LW4HVjkx3iSjfXWbLiky71WA5G
wsiZ1y2LeKSLsRPodMkxI0mPoRyhXJY93VrVRMZdFF1O0fJVxT8R16Hlsdlt5LHHMw5CbYFj5xeA
5bw1DzozzfOk65iDYneRrYfYKACUEnHTWdFGdKjzIbc18I2zqbzK4n5D7d+5i9SSctoyWx+6gx4V
4HXS6T7VxS3frgLdCn5a0lxNdX9vp5ABMDK5YTC+tEL/VJba51w2GScG9MQyjX5gjS1ejPEnJqkI
aZacGE+N1NdgIPWDSDk3jbKjPBL+pykqkKaVRdcZj5VEPptaS36jpYSi1vdVYn6q6viUNfoLB05Y
Orl5KTp6A30pM6+MNEeraebNXSi5cqC8yFNyg1nxyM0jsCNZcNen5n0+YLNfMg50eGUiv8YdDZJD
97B+IYhKmdh3vEwzr565rJw4dc84HpFS1N3ADNv3qnIAM3kBgvWYGqDdmXN19BAEY+Qht2ka5/RC
TJq8Ot5wP0i7b1K0QFm1a4xDvR07FSHXRWCjZ896AgALclTD4Fma82OULvfSrDF4nmYCtOrkdoaM
6zbjuKtaEv3I4lgdcvWXscTIJzV0esu8uI8tcRFV1ZcYtI0bIoq4mwrIDIV6b65xekHF3cjMYDP3
qexZgcWyMe4RgATg7PpdlbA7VN0XW8W72OYZz1qb97ANMigLzaGRFWBSchYWPrKbdtMGXWs/qXnb
/Q8lgP7/VxGtg89/roi8b9n/OsPZ/cmYdf3BP4si7TdDYZDKKOQ/Q5C/jif6b6pNacOwlGnGW2KJ
rlJJAQqUOYesldGb84mu0OWkZYm9Vbxmf/6r88n7mYpuccpREFhxQmHiI78ribCpJW22FESJldNO
TmOgn6mrDR85o9V31FE+iQqiGk425micuX/zLEvQDgwrSscrg7PxvgtlS/eNpT/kdDFJGgrJcRpN
CaZGeYnY8linFS8BFtmqJflsJGjeTxnRAPwwCJ0iOsLVmPM6klERVz02/5e981iO3Eqj9KvMC0AB
c+G2QPpkkklvNgi6gvfmAnj6+UB1qauq1erQzFYLdSjUxcpkJoD7m3O+8yTbiu2JE0FeZx/kR212
W/GCvl5lZ+65AioAHQgETqx+BCv7hp0LL5+dY52PvpvAwyjIMOZZYu0MIy02gTVsqHS7VT8DmG6h
kFY2XioWTq7oXVKEjCdyP0p/GM1bWLM3Sj5eKop5CaGDm07GiWc57p7IZR6XOZIbV7sPQiB+Ko+k
lR5BKeyH7prk5o0U/aPrNJ96aL+E+fTczEyjUgaKaKBwHTbB0SKVeENpu7PYg2xbXMK+0TT3pRXu
YofaJ4uiI23xWyGjdDOwRoJVTOJKtoR3KCg1vEyUsKm7+UWDNAgyOrkSDjRofLmIsAhIXKggtnbf
tOGphFKAA42quO63IMx3REErXgfkmTdq0Dd2hfDZ3dwqE7KwvAN7YLsv5O6tVZbT/ZIn2vYi9bgg
VhiSMIy2yTa1+28OM1OPEdmJfEFzrxZ5sapLy9eQ+ugMLMcJW4xkyrJJtexMhHayAXC3nXNxCsMg
9DpNbN2BzzZaAk4UyxxWFYAWRAKQnqBZFLSmxtw+xJY2+yFxyp7RZbet7PdAbMiAMtR3NO94zuX0
kMWxuR2N+UofC8tro2Qg+bn50DL9Q5eZ7hPjtSszd2/TrviplFs2bdd56qxGu7QubAMsoZUV73NS
PUU2C77cKu+sr7C62k53sieTinpRN4KNUwiCnbnEYJkJGZEqHdWvRVKGzWZ2lG7yTQsuCLGXKTXw
pDdU7kLW7O1suWGNz4CP8MoDuF7AbgR7cTbCZjM+pOruY1PDdls2kC3Tangg5JEaJ5SaijOd2mPV
j1q8ShMooZXYaUN62anhenLq18CKb7RU+SRrKPVqABUlV+PdpA9A4NuOcHW5KmUKmzA383Uhhwun
ycqVAsDCjNOCaKkhXsId5LOV2O16DKtTGKuB31bjzkGmEIn2ooKmOnTtTspuAUawQXBppRKVwPny
lFrcskaRgpQ0j5mi7OcM8XYURhEl0JRj0Ge2JxElJJIh4dhrN1Fnbcey+yQyWCI9UrzCqp5ks87v
7H0kGjLuwdVZOOUT9WU2EXGiqWy9KXvJxO0g290ERKNiYZcREJsUYHDhLOKVF4QE4V+WhtgNOmI0
LSq9GGM4RA+AfCobXC8cBOQNCLZjKVeB0jSekNW214qrqZTPTDGJqp/EQ9epzqlSElHfLUz20KEV
25U6C831DwfMn+n7fnFA8RRdECYWxeiyqNeWFdePHWzbtoYIJms6S+RuntgGh/G2PO0TfEGvxWO1
TveGH3jBsQJvsUq2/8tYxzH2g4J1eYjz8q7NuQMP26TJ//nloQCD2LP6+TzYrFf2Ln4kd3xRgP78
9e/5Z6+jq9oi7lUtoX4paX9wJbgdZ1ZMov1ZI0NqhE6XfbrhfjHL//Xr/Hz6/f778HlyBjJ3gCr2
y0aurgVbIw0onWUeG+uqMkqu38e/fo0FdfYfH9qPv8wvL9LTgbd6unxom/aBXLr1sFM/nBXNUnli
hhx6N82a3dBG391fOqvMuxxO8eahXQfr6+QgvR2JAhfdij+4Kjf8s3746/en/6Io/PpSl+gZ5BWG
BlPsl/eX9XQvxaRqZxbyl4wQ1upJewwPuvSJQUYrf3jWtqN/WW/kDjBBfsR6fg0icCO9f6n6/9lv
61zg/72QvHytXv9ksMbP/FFDUg4uwBdEvfrvmUP/riER2SzyeGu5XQR3578Ha85vS/ocUUVI+Jag
Ef3HwRpjtYWFx538ezrJ3xmsLeXtD5f412ANtbFAE7iEGSHQ+eW5ULe5MGFdXlXLCEvTWbA2Lud0
ZU73WlJvg2WXTWO+Cqr+Te2Dl9iCNqKO4tiaQbZEsbJGqVeqOZ3MmePB7LgdWLNQLhFhGmebKXDO
tDJspLReJ9lB3aaje5IG4tK83DqhuyOZ+4pkHuE5FnPhJuTUQZgD/qLsyajVPhWrODLmrvx0EOHJ
tqCKKlUaUBKa60kn/rlW1C2wg71qEupV6c6DXRnnVs+uTEK8vb4pIAMYQ/aQWhPYq5SNlOlew1G6
JXKN/EnVWU1mAsAuK+EzdeJTlmFymue+An7I60zmsJ2VhsqzD33F0na5kqqbcNQaEjkoDTo3Vjuf
jPZDr4bpWq+QLvVMMlf4BPw4YwVVZ28h7K9lneBVQ7vt6ybG+QpceWT4TqYFfHWZ7pqi4FTugLzA
uWhEpu31qTwaKmnfmmIegmJC7LJ0oEFqX8gU0rYrrdtai63NRGKbrxQDv4XbCDSUFmCmHjHh7EKJ
bc1s79iYnlLDN8DrQQoMXtrQuUsUx9zHirETU/CJ7oF+V4wIaiwaUmYynl4SdE0EyK6MIA+hdVLv
JsdtyaMx93lBerQIqxtNy3ajcGw/IpucGGJAJyXGhL0lB7hgKtB9DPibuGA1OUfxtK6DTHhmmL43
WkFVUmuDD6JFv3FrdsWzma4j04m3MHuildJpIEoomlKPvPGcCiQo9hZosV3oAECQipPuK4eolmWQ
ODDD9izdTrZdaWb1jqK4ZAQsHeWAeOqDJGTiq4LUPaDKjAH8NHsk93etChBH7fSdUCokHJ21bqPe
XA8Owd5DURJ73Cyjz28lDT5oJXlUx+Gpaifbs+b4oddZZcY0Tv4QVASqOCrKsvmiL8aLPFeF3zjJ
9dw5AzbnEMi2eSpmh1tCeeio93wB0x8tCe86FFc2o7oeKaUZJ4WH6b/03LTdJrZ+kVkdw0G3e5mr
4GpQ03v2ykwCzWAf6rW5HSaSYROtjtdNAt0rjgqQ1+kpYiQzZmG0Vl33VGTurjMHwvRs5SMO4vtS
mbApKpj4E139MOLqYaBMVsJs8hpH117p1taKpjwzdkel0WG6YLXta8hfrq1UvHTVcGzBbthze5zM
CjSGODLYZZpRmlcjOb0nECrbTK2zdWVbR4OxGkxuNPZ6dAM+jw1xPL3o9l2qrMXkHKs43rgDNVkQ
sfougAfHg03xlmbXDhgYXy8bhlNMgwhb8AtlPkdmUPqW0a0MCT4mTtaKYu3mFgxlF4BZURuCYxpy
JrLIPTHs3NvwaGKmYD0hxQ2r7eNgj8hg8vmF7L9u0+WNbznEgDUwo5UkZGRcX/Ry3rtV/KabFXxx
TVvBiHa9Kk5uu8x8cxucJv0Iaqeo7YdQ6QpfywNuYrA3JAZ1ayiRuOrcORu3baFP+e+GkX9OXJU9
638/cf3X7BWN/OufbJaXH/zj2GWfBTkZBbowVP6H4cgf+6wlkZUqlFAwTt4v1dj3fZbzGxJa5GQW
ia2LHu2HY9f+jeUKUxCiVxcVLefo3zl2fzHvcuw6nOyuxSuxmIGF8svwpgidYcgGB2QeZ+OuCoMt
tyuUVcjwvT2QWtzr7cXYM9Y31NnYumN/hggz8/TO3xqm/atWaXfZFJlr1wAgGErLYE3EedNHCLsS
ReqrqHMg/hDTvFLkmJ9rAsMjEwnI0Bh4TdX56ATGRWOKnVOStmAq0baeqsfACUsfJOJpbiaC9cp0
2MF7OoR5wmhDmIfZAeMdCvtk6eI+NKve62Ln2pV2uipI7ejU5pX9HZJPM3wYchNeUhwBlhjtgeN7
PlmF/UjGZ0sAuvHkZuWjBTvHTZH82NmdYuanzgHS38jovmjQ4yhavkP1u4yFb4oi2Wih8qyD4Aqx
pnVqDVinqS5YpDxRZV0aEXrTyCRzdESGykXx2mUOfrKRgBrF7tagPyPGvFlGjDkz/Smop7XjFP16
YN0GaRWFkByJjAoNjju2aaPsL+XimQsJrdgSG7ZJiEwfU1iUHHT4dvT5bATWu95Vd2k/baSj5Z4R
FudRcCCTBBHrSHgCuz1bvX0f1QHwIDE9WTHjlFia1QrUHqDNIiZPOp7aVaHb266Zr5uxsDdalB1G
LfuMlpmS00ETixr0T5ke+FbpXiWDrQMPtndEmtzWlyLiVIR6CqjKmgiOw+u2iW2qAcGpEHczSi6j
G7ZN7zxFFtlYfV3oXlbGW41T3Evz8j21rXKVdBNro1qDPWivpmXq0E27eCIDEf/UW9MYn8gxKY/U
cBfW4pIB034cIGhNOJrWyZSJB8Nk3q1OBMzYS4ZFUR8Q/O0zUzuZEIsJViXoN0N5PY3onvWQgszp
K2hjhdl3azko13ElP9w5lQ0B4iDD1KbezjXkU7urwebWiKVFtXOtEsUE8SMecDgHXjHJCkoIxbIZ
X1NX3BGFtmLuhXaBuEwuXa4j97E0BgwKdTfc1kKr17EbjmvGW8RxBpHta3OvrbsMgp9hZjcuIkxL
D9huxNG+cC0EaK2GbJs1Hnpn7gubSDMnQcpuLNhUsv3UDTvFDLXS3B8nnS2WEr0boRTXJCrfOI1g
QWkZzZ6dQutFnaRDm/t1K8psWbNelSV3SpITdkLG5jmwzYsoZ9JRqRARrIQPsLBeuk47tOV1LAQy
xcY5O04e7Am8vxypQlkJyoOrlx+izdjlTMlrLvIKilibrpRRSVfVzPUhzRoUbw1cEEnL1ph8FB16
aHwMzUWSwHKT65itnV8HXAZDHrxO8wzedqpPwUzAS2EotyMjqUKLFGJ8ogclTD/TnltGL0qu7QVV
6CJyAerhoXUnRi7L7uoi+OYOpfTDkevOyOwtE03kHQQtUcVjVBnCurhQ9NE8aUV+x9qtvhyHCdAZ
WOa17c4BfMOBdjbgwA8biC2RHEgJSh0wzXQKmRvfRg1XsylCRmxZEkHs4xsfgxzQwzRfl0FlEaiK
cbDNB5AIk3JjYBVeqbwSUySsjcpgSZ9Uz2BDJZWsyroTu4jvaxDRIZ34u3qjvobLfUQ5c6sGKlzq
uITIOhwCx9TXxjyjymlL6htCFbXmKf3Sv1pfWtgWVWz/uz72SysbL7LZehHQEqGBlvbrKPynJlgi
3f57TbAvpvI/u/DlZ76XA5pJq40c3OZR8C+K/PdygPC4xStHs63CNv3SoH0vB8gLtogJti2abSQp
i6vmu758UZpZMCkFyPjfVel/oxyg7vilC2cs6JKAYGDSUWnsjWXQ88PUzAD0BpzZ7uDGWPSCZRav
xjIXznzNdHceKi92I5QjRMoMagT3ZUjl2oT+oa1LQ58KUHBTjHgRP1Y9XYErhK3qOSwUGxjMo1VD
HzGzyNiySckz/Be4m9vrSAkSgoWUwC0L5KpWL85237tNsbLVahDH0TRlC+0SCmL7iqWsmWf6co4z
csCImKEL1Iao2SZt5Z6iWo3gijeWV0sp7uuSZh0ap1f3pJd5Ik3ylVbL4UiC7rTRnRgcXZb2N5qV
yje1MM1qD/04fBtEM26yVs0vYist1yw/gstEMcVmUJJoR5XH0M2RxnSN9C/Yt30pT2jL5aWWDN2q
CapvpXQoyEddb16dOAbe3Am9JwfL1PfoU7s7Ik9yn0/QfHfmzN0OUSYvwo49FJJcJGvCuHFmNVuP
RlijYGbKgb4OoYvZdcoeNAAMDXWh4LB524hKqyqPzhDhqaEZb3xN3Q4/7Qx2u2LxhMJCfzHmil5l
RsfvpXqvv6WiNY993Yb7Ccv/k2G2Bg8SnR0e0LPVjFb4qu/Tdz7SYl+7lnartbFKbAsLx5OQsesB
Eo8uIeSGRMmZ8aUZt+3WdbNmncyuczmDB4VOTxSOO9HRREY4vQtrzC5MGbQPfc5ApXWTgizLWAf4
r2WzZ0VtupncgHAx8APXWloqGxw27dmIiXrpQGQdGfTS7LXpIZjymUWE4mxqcxq/SYHo3any8DDi
Xua9JbaCTt9S2Qy2LNjKKctw4WMUqien2FZhr23peGdvJPFgBJ/pBoesUayH3lUe0YPrFzoW7Cve
frBRUtZHbamLTdc06tU0RyxTHJnswxg+aUle1In4g+kmahzJUS/r9RT34zoc5mDT1m0brv55sn5p
eI2/7LZuX4v/4xGF1/3J83X5ye/PV+SDuH1NxLr6l+/4x3ZL49GLDtC2ecbxnOMh+v35av1Goqqu
s1/+nu/+/fGKZxHJIEFTFlHMy/P1b3VbX2Csn5W8OmsCHMkEcGg6QRw/P17bfjJNxhvKpW3m+FOQ
qMWB9IrMKryCtfUmtSdSNYThJ1F+jTXR9Ye4oXUhVVJOXbnKkm4/Nxry+wQJH/1m6elywk9Xc/Vx
C77hVH4ok/GlUuvThBd3ti3nosq5L6FOe0Fl3DOW2+ICSlZhl91gIcZuXxvvlkbGsQ1lfmFXu6oy
ebDr0X8lDRlx9jcaiXGTyOo215N7W1ukRil1U6/YM3vp+kn0ZAjGWrUiD0NukrDCQcj9W9Rp72lK
s5WwQzwRICFs+/yA0FfGKwYnIfRiEz5wMIqXKhuU6TqR8I83JE/L3CC1uCvvepCnFalDmoBEXele
WUp3U2nMR4Z2Aqah9ij0ANsNhGMQiJmc+wSUlFuwWS6dzIee8NHZOLCBtniENZksdS8zvDotxX4w
4dqTbo8IYCpv7ZEgDC3XX2CcYGByG53ugJlgWw5HK2jbQ60Wb7UewY0nah21MJo73J1WLrCdpKgP
isg2V3JK71SiHr4q+nakCxlV8VSI8iGP7fKqmsfyQi3iyVdsF7+Me2WEsOszfDBau82bJQ/MPoxm
8ESxoIF0NaZ9aSWbvhDqXkPl5WHmmdZfds2AZGDUOdideT+PTtjFhwFZ4priT3qOFihLJnV+BRzj
DtHjsMkrXDSuZR9FHnep18k6fkhbRc/WcH8ta62BNJn16Vpt55Q9Oxhioh+cdVOptyE60ADvrDcT
vkoHTxKHvqtb/BiJvQ+WWLGhp1adW5a24V3n5FejO2z1UZ+8VB18QZpei8c9Ssx+L/LkkePjjhNk
K6XzkCszysym3YGEuIMMftHI+JYopqe4Q0UKiQQkbFT5FkMxksTJtRykyW7V1hfc/4UFd/rIV051
3Cef0De8oeG9KVNorln/o3jQA4/pNgEu5ove5OugUJHA9dkJ5dUNAO5qP5ldeGEohJ/08q1Q4J60
d00Pwtit3eswSvDfDOC18W9a2oPqJthRymSLb5eWlLUpMXonkiVf8h5Su2JbG2yfNnK0CsFuyHxX
IY8MW9KrG+CkUol3m635UqrDVYQoT9flsWwVAqHHFRXeGxGCFrzs5HYOoysJvKduyEUxtYesVrW1
qk+bmrBGP06Vy0B1twmGqh557ZI79zYEIl8zh7xww4laYMiOWcYf09yj7PoOn36+d8L+YuiKI39y
Xo+jYRzs0uy81EG0sMFXNiFGVYr8JmJgpaORCJ+TGAOamaAfNtVviAN36AyeW1dupDtwBvMWDOel
c4pT3guFo5ZJqIaLrjN2TVg9TbYdeXqOakIKAsv0/sbRavjAI1FptPFPcd/sJWHBmTIEXumIayMJ
92BprvWCYPRpHk7mICOfOco2KBpnTxbnDpz6NnbSRwBHF3iv7+2CsWiWqNi4lvzZ7BQV9TFV+0eO
7tsm5rvIq+Fd5NxqakOisH41Znm/DydE0SSf7DKdUDVXv+EiOZQ9CtGo6a7agHm/TbA3TdMTIeGr
Ga3OZmhVVvDyqLikoBkqDa5UsPiJndosBQI95yx3kuh3JgcXZEVsu2y+7oa08+y8ptBpjmPFJevQ
8eVtdh+oxUsqMUHV5r4jUa4V1SEqrb1mRA9DG9+aTnsHfSPzTIue0IyYHjtvKcFCWk7Y65yX+0Bv
LvBLHIpZ5w7T5Ckq0yOhly9jZtyiIDfomtmmlTWh5JaK7DXeFFV1ZeblMbadb//UJl+1iUab9N+7
vl2fv5XZR/cnnR8/90dlAuRAZa+JYMmCcbw0hd87Px2KCvIBbMWqIdD5URX8qzJBqCesr7BXAwUD
geJsRf9VmojFKKHpglGwpTLGBaPyNzq/n1UMpipIJweHgKuY7avOEvPnwqTrJ1nzJJBncmzCxE+m
m7Ld/vChcNVPYVn86J34XQj47+pnkUqo8EOADjGcsxBMULf92FxSCBhJkrbV2ZDI5VrMbi0CmcjQ
C5IoGbANi5xrTK/nMracyyiK7KcmtPX02mGr60dqPuoHHeRAi3+/hukfB9kaqx15Objyeo7BacrO
AW7frFT2U+vulLq87VSWwVNExVLbN2Pc7oKp5haHZ0+1qa1MUR+USl6xwHvLpvRVCYJVX1X7JEue
mDdq/hxHVyFmSUfP9nYEgUgbm29Nb28rAmlWWS14GNWix1cIm6Uz5a4e0IWTb3tvs8cxWp9f7ym0
1L2KKYoGrTrUY/GZtejeKXs8UkY+A6LB4OlXHCUq7PO6bTZV1pNpay+siQaRttRJZ7DVt5HkKEOQ
faaJAkN3eAh0/b4ZgdroccfzDvxqNMl3tNiHSTTFpk6qUxGNkgwo21iZcWD6QdnwUGSFaIuyW4eT
cULJ3/hda1xn0g19wreflMTYzNIe1zA+cs/Ru2+JXWe+g1uVQX6J0FMcbdkIxsjkg2VpjW9AZRtf
kcXrj0lfQIjTaeRwOhI3Oz9qPKkMvk6v7JUbUypsd/XsTuZwK1wnfVbqRlDHVntX65LLjI2kHynp
geYQM4BWE8fkhHTH77BTNy6OyjiXui/GusXAVTwG8yD8oGZNWobaoXGApHUD/gXbfAeRD81zalhl
iHeHsNWVk8TfnJwdQMhMY1V37l1YW98E7jHCzT7pN6UPeWYXgaPgkHL8MszPWN7ftCQBDSKILkDZ
uSeEBasD6zrU16zyDARbou3kWigqeUtFf6aRvCdJvfWVrNtHRtSsNRHdhmOHwhwis495gKEC4QlD
aK/ncoESOcmtbiy7Cc4caqfHVJ0tlGHWtyRxX0zaYeaNSMwgdDAoxG5/YoLS+CFOV5/nyn041be4
Djg/UqL2kP6DuYgkF+v4grNkyfaoGRRLPg/bnp9ZXyM3VKmhMfbDKrI2Q6Pep2F238aMMEfFwVcc
dqfcVr51ivOsOLgarDTCBrikU4xB6c5re7agAHbGxOr7S6gGV4+YrIpPw0XxWt+ZocQPwZbWq9ws
vU9Vw92b85icLUPe1TVF2lx95m2xj9MKlXpZfWhdjXcPe/O67xx0nLI79k2cPArRrTIryPzWeijc
9bidoim5yOG0xIpy0/SJm3ugCesYMEnDyJ31g2KP5apxq9JvM/LrZq7f0KgQARo07Gbu2w24U7v1
K+7NZdh9SUPwFDnmZ6yONS5IAt/ErG1ybL5DNB2JOH4FokolFbNJ6J/DHmMLz5ybptDWzN9vSs3Y
S1K/p8leWUr4AN/guUURQBTD0ZXhGeXYecqj09x2m5kIkcCdPvqBtiiyYcKQmLjOKdhT5uJ222C4
dsxNUw2XNm6rpk7Ju5nnVRSb0ivdkRE9K7VAUa6mrqGvcFPcPO1n20UbvR4flfbT7LkSB8veGCKB
RBAUkrrGDWQMx66fFGWtDpP9YIfDuK3rRveTkDWI6VRddZmyEMtLwYh9rtf2UISqnyWLST0tRTUx
wGMN2E1l4zsZ7YRj5A8pmUhNJ5+kzB7aWnnGoGNcA6iczxx49abJ6tda1/ZRY3yMgXNVz6D5MMut
itwhXZBoxxXUCpi3CcyZfM5x+efOdArz6DYOw7dEbxRfpsTdNfNkr6ucpHFq+AnzXfRc6HyLMrqD
656sXEM59EP71GvlfAspI98Ei+a04v3BzeHs8d2UZ0CvZNaq7av5SmEzeWclxrSaJleuw6Y0C+7y
9jFw234lOjvfcTc7qzrrVsIaiEbTOrml5ip9Iy+nrSzUyB+yCktQl8bc7Ey9ZOZquzYdzuzpbloR
4eDXtskgBq9Ugve4JHVytrS7yiyfGm28Dc3G2qMHfyqX6ErSY4L/wXNcRgq/HLrIcJk4WMx0bdbK
Px+6VtYjRNLr/lw6MIy0K0xnFu/aRPpAssdfH/E/VxHLAY9BgVxbbWGewOpmxPLjAd+25dgtdv2z
E2B+eagnIrAe/v9e4heZmMzqLJN9Js8VN+aEty8aXkR1+//wIq6LGo7airHnLy/SRmk6JoWUZ6O5
q6H/KpfKsP/rl/jPr2Xxcvz7JRY53A+D9q4vnVATozwL5zavNzPINKqQwn5Npv/xSov28ucL4OdX
Wt7JD6+URYOZWyz6zjXcaa0ASKAf+vwkCd/JDzMg6L/+xX7W8f1+DeA2wRrLAsEF5vfzy3VhQg5o
p8lzVj9pS8qPdRdGxyl/+nqZfzZMy3Lnv/cat/Fn82eo5OWn/ug0vjoDdLjLnNFEXfJDp6H9RqsA
mA2kAXKPBbT2fQbq/mYzC0RVAveGzc8yHv0+BMVd7Wr6En22KDQXfejf6DTIUf7pgkRywnAW2MKC
YkMMzrrp5ytkRh4R6WWsXrEJw9GfIwqwtJcy/ICGOJv4MhuruIgd9A6xdPULWfHfG3y6Fpr5vq42
uPJvsr5/advZVycFVVMaPRWNuYXxeGMUyOhdiojWftYsNtTZCIzQBuZl2u2CZWaPHPY4bIs7pJ6M
MF3WGnWtdexhq2eYhCtQD0dzAneo1a9zxC2TzE86G38/H7tDZBZweRPbT+d41/Z0EkkxP2mhvcM4
E/vklJ1HO3pmLHMP4OvCTZiNWjDDUlP/psiCaU7/QOwny++e891VNrM9nzm/4QPX1bZyoZhIF8Ef
qBPPCCif7UDuu7hksjlhhAZoZtfKpmkHvLK581BLHVcR46Y9JYXmyUAcE5WNRyKVHa5LKmeM5bte
mbalIEBGG3BmWzey6m+Q6jX3mTm9ZhXtilU7hzBSH9XcPDpqmfuVOp7CtDI9GRKkbCbFrmP1hXOi
PwrR7i2XtJQ6MA+T9tEWxUsY9PeTQ3EyEcPszY58SVWMslltnDJbfBp2RU1oavcW7l9PqgIMC9Tm
rg1pzeRgrdVx2iUtGgzOqGqIL/qWzywMM8E4NUzQRaZJNzSX3dhp0Tqwk3Lb4VAZj10ZE00nKrXb
lw6whs52J/ZYXZJAolMb0lxjQcoYlofOfc2GGtRRZ+rdykpB6XijISex4GEIcMwEWOMI+GwlcEv3
Neb80ngvIsi+SiD0FV0Xgyy95N+kupJz+04usaCgqL85wAzQbiQrYsDgKy2WydBMb+y5wkdu2JdK
pDt+p1f8HSoOXiV6ykbxXDijxPo13FY9dbULyXrFGOgjqdpv+jR+suaENGNnDyHSbZK2jBPBXwxT
W/3YFEq8xqdsrBFMn0fdINjPTXciap6d1Ow2TDKztRk4z1O3tI3Cwkhmy4/W0ZdVg8Ttk3cu8L7W
8VUISacsVC7D52xYFWF4KMbkQ4ztysy5XgpgPul8tIpim5TV9WAgaohwA1eCzsxCSJpFBOPhT0I7
Yj0G7Bm2Jv/F0eRjONfX9Of+JJT2QrbP7FYRVU4ArxQakHjFXzV6KmItxULEQXyjpygRe9JmZOQm
+caTqL7ppzLcp1jTZqu4nJvqMBbVN1hrzAth46mbekqb93/Ola8ZlvmXyoW7PnttPv9zgrX81Pdz
BaQvAyJO9QUKvoyw/n2ufCH4DZXIrq/V2qIy/H6uWL+hdWDnpi4Ub7Zs/F/fz5VFuwAodBEwsA5b
tJF/51xx/ky7gCCS94AN1nHVX6o2aGhqXbBavgSBgGgu7l+aCaBNmnY2hLlsNTXZo6mhBpvK4BQv
+1pTk62PKv9MNP3edgOyQUydXQQ+AoYPx6hPTpONdbzU41tVTT8wD2L5LwdCKRVJVyX1UzlzBgSq
Ffp5W10Vo/ooZ+tFb8WTW4fQ3vCIbYKMYtvFp5kJOq9aRjxJGiSRWKy9uEoeTKd4qabyfohi9ltd
i67esh4awLbFWDx2LKVR3B8jyyZjJz4NaXTBc++lLckXiF373BgmEIjQWef8YnjWYmvLg+pAF/Sc
TwQUi8SY+WuXZIJM7hxX3k86eXuwijdCzN1KT/Dhs9TPOGScj5p6cYVs/6LtGNEUGCEcNilm6tyU
sftRt+6ZB+/k6TUzfXWRoAVSXjrV8KSmxXvQlc9BrV+1ZfEusIz7fdrQyxfS3rV2fg4rdxdHDP6S
8CXTCSSvMoeIU4ggnEvlu9TcE+dct8qnhkRmOGGribE9MgCCSGk3Ljp2/7UISFfMVnNcNRssdBu1
kYfQdXehbt6wMPgGjuHTzps7Iw63EIKf8nDOFzfkpcOX5KooUaRksaqrCEn1RWpgERIZueM3cHEl
Dj11W6Kt8vsGFXiu6o8iNG9Ex5LVidM7Eerfet0a9lO8/LjZ9xth9E+50u/aMuKhaFqbvsNiASIg
2fJYe8ZckW70qr8ETKZ6cWpTbmh4ReCqItxPN6qN1A9r9bbuMA9y5vL8q/jWcjopHwPdqhexAUzW
2aDXbLdBWx3jIK+p3NFeNHDRPFPONzb5uLIAoleL2hdzQK2QxoudYCRxZ25RC/ZccaYtFd+ZuYin
/8veeSzZbaxd9lU6eg4FTCIBDHpyHI4t7yeIKrIIJLx3T98L5KUupV+/IjTXTCKrWKeOyfzM3ms3
vIaZWYbboZ7vMZPyU3N3Fwb9LtC7+9m1jmrAoOKYKR4AFKObMIXN0KMJaYvxxWV2SmVffuhGUa/y
IkApi2Zw0NUeIjRrIC3a69A7NpqD31PXC19Oum/ogKwbXcMBEA2wc3v3EzXv2R2LfoXHt9wCgznI
cJo2Ztfn2zAbYXdgNzFrZG0tAwx09h9NhwFHrw3JeAZNSzZK8yTyhPRhSuHwkELHsjZQe59NN6n7
ba01kXriaQjaa7N1QnpgZVs7GWR6/uCgKC7o88vZYgGZLum9DAdvGK8peTNVKrqxqjF8Jf1726S8
hVYiEsFVyUwhbiWERO5SHUZc5HjhPcojDRiuPd7qqQaZpFLWFrGxBWHLTefN+J271X1ncFXfeVwI
sGBzNZO1NqB1FUy+4XbFlvmSDLoO6SIvIXux+TQ2o3S+6CHrTcCbU02NMXyfv0EhsZGPKtMJH/TW
SZtXM+hDsvWsGSBipWcyeAP/G4mLzt5TQ6E4duX63+vyhxzlb1c+N2mXvTf/87pcepmf1+VCskJM
xyTkO3dqaYR/X/iw1vEclw0+LGxg1NykPxc++m+CvzLAkyNi+bEL+nldEnMDQZaAzN9lKv/gugSv
/RdtGLRaHoULV5va849tmIjCPLcgHF/b6dAme9UT7165VXKJKdvE3Ny60fwcNAFHfZv6A6p98iE4
EinwyC33vQB9r6IYrNsy2lpFzTla+J7QTx0MSEn5aFFGzt0egcdrQWUZhNBnwmtjKTmxZblracN9
cox5pKqVQBOn+WsqPJLLO6K0BfWrI1jwuJbW7sTQvsIV3TMBp9il6lVL+VsthTBpcad5KY1JALgI
3ZWrjqo519BTZ7X+qainydz+6i4FdrGU2iCk7rOl+E6owodJe65nKmyGnRvCsN11P3tXuZymkwbu
Wy7F/LiU9SP1PSohvjBovtlL6d/TA9S9QbtBUxCbilZ2aRSypWWA4PhFT17s6SZq5LxCqcjktgau
5EWbwGlrsHhL64FGnTYkjyz8Q6U1DYf6e6NifG9a1Fhn+yjvaQ7GPNnraqq2aazhcxBjudUDrkhd
98ZtY7rpTp+YwltmXxtrqTjMp3Bob6OpAm89p/Vtz9jR78q+YouEscpswCE0ixY8quJwleUJIP5K
vhRzbYKEQtMpauEitWmSbbugkUavQDjhBbZPJzHdopcSKxRI+ga9zpqNdXEEpUcdlAh1CYgk2CCq
aY4RSlJ/JHNolYu0azaVCbNCi6zAN5Lum+kBkwX20K0rqKF74sE/+paXj6ymCidEakEuYGOmGq3Y
0zh9elrBWYqsk/h43qr1QkjVWbFAG09vXAvDo4HSeWmUyQQy6JRFaoUoVBvbd6PqMxsNz7fJkYEw
pgFKngv8yZzMpMAM+bu7xGGbk9L3CIV4bnRNX+Uwu1nYtUm9MRyCLbNayz/KKQ8RJlGoNUu6OQPk
+jQ4xUDgdlf7MG1h/JBg6JetTLe8eGIVNDY1iUOqyhR9A3ds+Q1Ti2ilz5nlk1QN/8p1xYeeAV8A
mYbJDaHQKswWDWsp+i2QK0PjUeZyE+dd+sFnLjzWmOX2w5zk7TaKkYqiFHVHnGv4xr6ljKb3rmGY
twWgLlQlTgPKfNbrkwUJqtbHh1Qzwg3pFjZSei/ZFWn1NGns/vQ5YAfJIBrr4bi2++ZVC6vnFDIG
CTsMyKNsHpka0vvHOotBZ4qfjLy4iatGvU3eTIYODIbz1Lkua792hdT/FlA7weQyXTwYTnVgffcZ
pf1bpwe7IXRRdnjatyFuG9Zm6tXS4mMq0pdRDuh1GrKt0qxeDhHvwlNx6CCkU28DJFmcuZn7AP3m
pjKIgqDJWOV1ceXo4ospvec+1Yi5qMebdkY04tb1nlzM+2b2HiuyPrBj4MCrOtZv8YQFJlCTb5kz
a++cjayb5achpC8gOipcykUnRJTapVZ1svUZQgSF35Cbe1WgyneCa9ciO320qs2EdJtPCmVXzptt
NSlKJ4GM5SN2GZHIpI33QLUVDXMHlAKQ1lGiFFgJWSyr8OzDa2zOLJ3tKVzam2LQ7mXTDH4Mbf4Y
5h0f5SIEz0BQx9I6tEy/W7RGI2dSUAzhbQaiZ9Xwcbntlg/PrLPJrpcf2pZ2tI0D5fl6U6q7NKzL
jWsiaeKE6fwmxg6h2aPnl8KYtnMMcC/uQBLqgTP5Y8ckLGiUtQHGLbbeHMuVrO1vzRTOm0TMB4RX
18zRTpkVn+1uXPRHuulbsES36GPI0BNL0AF7CT8NAmMj9KLYm3K0NzHDJRWl8zqggvFNa+Soj3m0
Ucan1hxYhqS5hbouQrs7lZxSehUY1Lj8pnYNsiXqWTh3sSF9LWbmhGdlWFVIqNfsRdlVOkP3Y7D9
78R5sdr/zcQZ5e1GfYZ/JbzlG39WO4b8jfwOPnBoPL4rVf5b7TA3oGhxCfCwKTXIlvi92iH4g3Hw
Isn9ryb3Z7Vj/kYBxAYBX6Lz3dnwT4YD7J/+VO04/GNIXCyLaQStor78/S9bEBXHUROlrXUhaIwP
v51UhPWsO2knCz5qKM210c8ON6fQS3PcRPk033cAJ0MIeGeri533JMrXVotXWa/eYic1jJvBaNCW
xN/zHJol2iEr2vkYWkveQ7VEP2DkJAXCaHR6L88jHCILrAArj9SJsk+S2LhXjpeK0xzOafPFy0M5
XGqrrO3bZZTWyzz9DHqW2kWuOqSsAm4nLQLWbA+DRX/XVlN7EKmJWnWe4cdtyTvr3mbhdMyNq0g/
mZ0XnOqqir11DtlpG41eta6rut12+qROdjuJcxDMJatAL/DeuyZfENRVAI/PEagWkzzqbiA1vU9T
/uYk4RdA8dmWgR8DYml/lm32ySTYwDuVVeIrq/G1S4yYWYXDIZ91e9cmWvc2yFCSmaErtWxxDUz9
A6c3msVnA4HHxoNJ/mVUst83Vo47gubrrCUmOFOjhstZdSPhRWXlM+ss1nU/t7jfiAdkV42/okYG
54FH5cWFWNW662ZoaNTb7OR2XrEmZ8wBuW7Ph0Rw8SvTQ4XsRb6jGNrUIdNRa3LjddF0kPdzvGmu
9+mKSCMAYN6ToHJtkVHkTwG0So1QaMCPCFUaQSoffeAmGTClOdL2C8MbVx2MsTaqB/bn4Mh1qN+o
U+xxU2OB2cZaaV7DZEjutcG27nIp889YF/Uxq1T+zHYY2KOqvuYojv7NLzN+NGh8gv/+1Fp91vl7
/VXlf3V08d2/H12CjI5F+e/9J9njD0cXcRv0R3BRHLbB1n+PLvu3BXdH7ihrM0t+Twr5eXRZv7kO
In9wapLuj5HPPzq6TLrBXxa48PsMVqk2ojnkf1iz/szX80Zbw8djRVda4pobe0nXcufJOsglcQsT
NQLPlghCQn/YhzvrMJltSvGhauLHKU5iLm2kPlf5kuZFPl446tyOen87fg/86pilonUKx2omC2xM
ezAQq+pHTpj1fV1DUA4BYrQaoMX89nu0mNu2A3pgCAcA7dmhrzjA4oesQFcvWACb6zTRJ7DfLlw+
k5N3V5ZkahZtCkgrYnWQ2p3zlBs9zQwC6v6pzDwXx6ldzqg68tlICRWo8nVile6NlfQl/NkqfgXU
Z+853LFJwZwNrkmKDd0ViFWFqIasonUWzFmISk0Ga68wDyhXsjV1SXfRNSe7cmTe32WmjLZ1l5hi
rZwcS7mGJK5LK/fNpGib117rFTMK8k6yuXaV7cCzSJ07yK3FvJ7bTO3T2pm/ZKZmbaJQTE2+nvTK
rs1d59lxGayYBibFwe2t1kfZMWnNRo1a/9qq2jBoRlhGidjosM7RCi5GOnS7i61uGtD3eHumuHzZ
VNah7+jtfNvUffwGybm59ZzG2cUEMbFVQ1XywJV15VnkP90UGs/mTU4Crb4Nm2V5FwZFVx0i0+io
TpUZvyZpYz6MXgdzbSU7OCgIV1S6162c0ThWpyA+VDgqxmPmKDF8ysENPz3Lc/yuhUCXqqhY8i3J
L8XsT4mq1Q6AWdW8RMiC6utK0zxk4+2/9daPk0v/200MF8Vf4kB/WcSYbPEdegNGGxaePDKF/jtZ
gvLkGIhvloTFP9Ra6IXRGLPyX3AP8jsI/fdFjAdD1IY+YgIU/mE9/SeTpUVg8IcDiyORKsphgMme
nzH/n7QtfTk2dh5G1nUzCn09j/2BYQcBgLGFlFVWO6yi2Ana6dkxZ2vThOJLbbnnFgjjxtaBhsdj
IAAQRKcWh/8q1/OLBl2TOTYmo7Hpr7B3Nhu2jjj7iu5j8vLXCMXglKV3CSSjfGqPoOfuqpLBelxN
rF5K0nxrwzznUBhXoeY8NgnVQepl7X4egse5wJASLvLUYh7Xcsyu7dC6Nga59ari6ECWThC9Heae
2FKODmZE0ehzzG5Nt/wmSgIXh9A+5rAzyqn+cFlJe80MkzpjbW+y67eo9VZUTvlm4YrqY9GtnTJ6
GozuLcHcvY6SaA/FOmcIDvw9iywygzFprFVpXSWM+tMEntBQ19+qPqIL1AoozakLRqYu10NYXcd2
z2o0a5Ndp5jUO1mRrJIITpSnh8FVI6FJRV6HnLQS8zeXqcZVL5wvs+LJLRk43JrBxCSoqT+jVvcu
cZEebE8zV4FZTn6UN+51o2jsnKWlIo8VLtfSZiVLwxWHeYSGlCZMLe2YXBozMTrhrR7Cip6Xtq0K
WSxlSytnLU2dWto7fUrjvbW0fNrS/MVLG2jB7LGWxtBeWsRsaRYhIdM2Lg0kRXnAEJCmsmYvAlbJ
gitJx2nQec50oETzHNqlJVWZ+y1YmlRUj2KrLY3rtLSwxtLMJt/b2qXBBbwwbZ268vx2aX/jpRH2
lpY4W5pjXRnqjp2Vy8iM1pkY6nivL+3096lUY1naLcXhwn7lN62WBlwBWNm5S1MeL+05a+tyq2W0
7MnSvNtLGx+aCyGzuek6Pd9GCGpZyZX4ClgmqEgCnV4GAqXXWKvQYCgxzctTpMz8bQCA9ZhHCm4A
Jh9IlDkj2TGkPw5yhrduFK6icg7o5iHSWzWbKHdAmBkNAiy406mv5GGzAI2dALVxpu31FjeZnW6D
IPeYNUk4fB5ycPonpN4Co4+Gb3tT04GsJSEbt7NB+tXY3ckhSxg2xjgFUzO9Soq83dNGfWvz+aPF
gb1rSww1KR7gizII+bZGuUnrSh7khCVJak7vu0Eu7kyte1Je0Wobve1GeDPmaBgrdixfBh6VM2sk
+kTA8Bumdr6mpgdDG4zdGIVyrffeMecK3w4DMQZe30ER5UIqnZnYrzTcqjzXjprQ98qyHvsmhi8W
clVW8dGJ85sBta+mOZfGfgsc89QVsn+ZkvRzkMRzsZllgmTEG3foBvQnTr73PExlql6YqIl+Nvlp
URmd+l58qyjEAHWkF33QjVXvOU8zmNaVimd31TbZ1waEFsKm7FDE0y0r83Nnq2xdRL21aF4LP1Eo
ccY+ghc2FSPaVMdZ1Xx53pjl2mkIw0JFvJBbs+tOC+/TMXjTi+61FBwPLp74jZPUJzUY72Mi5bZJ
UN33TRHuDIzNxrItTMQy22rQEs8GsZBNTzjM8Ey3q28cTdyQPsB0N3PyA5FvfGWLErxL0n5dtsWJ
se4+hTgGxizYxXpRXSuvndhELdSs0du0Y/3ZoOpe2T1rzsiUr0nQZfYWQtslN9svhXAOeWe/pEEG
0i0jbqKeP/BR1qsOPjS/dLqLTBbiENLRdDtXUcwp4xVkJtbM5JnyrvrCwLpB/svATN6Eg6yp4Tbv
sjOtLtpflX60rrd3cuvKCEtfE5UfDstcHYB8avD/9nuE6X7dqO5boxyEiEO77Yvp0GYi2rIdQHyU
3AbIrbkLunVqsVtv09vMAx0NxjZNwm0k8z3LQYLlMvWQKgYFJpKUPGjwkk3zPnCNs8IPoWPJbzwT
i4f+GXQ5xDLLRWuF0qZxbxQJX+tQ5ne6Quj/79rtR1eHIvHvu7rLe/v5Vw0d3/izoTMpgnAyYVl1
vgdT81e/b94YK5mMvql2LCSIvzZ0zm80bSZiFPunn+r3+ogQR6oqJlv/YXX9o4buz5Mo9C4eYkoT
7wyTL/PP7VzTDcgGOROv9eKmDsV2ip3NL0/KzQ9t769OK36/X+ovJLi4zGg7EVra2ODtJd/y11kX
w/PE6kBoXDciPirnSdOvPfuWKD4juBl6jMY/3o1/SMn59ed9R8n/7U9cHtEv0zUTk66ibeuuY2JL
yMELW281QU0gbSMsmtuhLtxj34Lnkwn5E43cyZhtVhWMgb1ts9bZUkjItxHS/UFaEesrxv0boyng
HrnR2S5Y6Llmsi5r/WuvJd+8UXvJ5+ymMEyxclBYUIgAH8snNhqWGWFZTjViSkIV7kUi/QZNzI6g
LmsXlqrwg2mktiJrYuXUTOKZVNXUOorRjLsuO3UHEe2E/Amrk+rPWhXwKsVqlQXuYvfECDDB7ZTD
bRBAOwpAVhaFcdNHOC1dWJc6ZvIkDk8FITCdpT3WrFpWff7Wz9aiDN33ztxsjbbxVcuGqnSPeDrG
VSQRsmhljb4jIp+qc+Z7h1qspsmmxbwv2FogrIDITMGzr1DMtbdzKfiDLqvH4joNxbnFEX3FppIC
rGnnTQYrCKuoe5bMFInwA06mDmPCfNELrjQ9uZpm+WykQDmX9g1MEvRqU30Rtv41ZdG2HWxxgbGE
+AJ8UlKe22DYEoxzmCx1o5P1QyYlne10Hqbx3Ll4bto5g3FlD6em158rCKtC4O/P8vnRTikNg2xK
rlSX3+RJC12SMdmcHPUC4etYYsBJWtaZ1egiNukTAj2mdNvEziNTVJSAmh7uzKzsDl03tOwRTHbT
8GXOhJhCenJNggS/etpwLSL3rulqYwWzDDB3VO+MMjsGqbrpcu1+6Ik/wbi7KpZVAwgTJ2u/EmiM
wlfGtybKEK/LulU0gkwx5UZwdaPSp+dFuyoH4Q91v9MZ+7WSzCZD3xRFcT/n4iYLUI0O9CWrNk36
u3GK7oiTP9RUX27pvggEMKNj1w+lTiBbrOpvuUWdGXgsSbDTz4QWCficpOF86kN4yju5oTqF7OZ4
BzMj5AzN11ZqWLmC8CZS/UXYxJzZmT/q9jZ18jU1FFCUYl8jbW6Qc9mNdgVbcGNiTeaguJ0AA0A+
wG8J93tXedaTqBuio7SMxSvMhNxOp31C7QW0Kt+VKiTFddKOSTM/MF6IEJS1V6ou7uOedW/c87YO
mCd3rvnudfF77LiXokrhXMUwbLFyA7Br0MbZQe/u/730vl96ixH2f7/0HroCtUn+yf2WMxafDl//
3//9MUhYvu/nnYcCk+Yeyw35hSj8l4vt9ztP/w0iCiIUsoslM8tf9i/uEryOzN5gKcqX/GIvtpzf
JH/AXQWdksnAPxP9S5vV0J9uCBjsDEoN4NMCq/EyM/jlhjDYTGdA3rPr2Y6OGIhWomedP6Lbmgkz
wNwuURQE6UWUxJSzGdrr1LKqbK8jQnDzFHPXYN7mBvw1yziS1PGedOI1aFJ2FO1lnA2CcMV+jqjS
Eq3ALOyErxz7t30QJFuZZYBopVwLFBGrAEfUekZzdcqmFPhggqjFzdocLl8EIq1wz7mV3ZAzgimT
kJDVDPYVEvWH1OydFRg3EQcuKxpgwl78Mhg9ku5cXrt2RRRox3mWGDj6O1l8lUVBfNUY0a1HDq7V
nkQEe2LQ0ToHK8geLGTek5gvjfA+0qB5GKYe8iGpb4XsTpKJA2nL8tounGNKc7PyIvvR0rQNc9S3
IZK7pmdbVUPFWg2ee8M4hGOwgLmVXJF6sCs1I1h39qDW7Kq0lVFrzx7zAjjM9Ld2fI5qdDeLQh0B
ADpTMMXsVfA7RtLLdhqW0xG9pt13Z9G5xVVZ3SKH32WJ2k6Oce3Y3q6zxrtpaWNiLkerNt4tIwIy
rb3QNjwzUN/JrmP0Aqtjj87tQ02YLoh23mQ4FVbGGF9NPU8dgJhbfQxG4lFk9lQJmsXGbZFV0N9a
ldNfhbq7CwYW8JkNHG/q+nucn1v+W+2UbNJNW+VPHQ8jIGhqnSiNMLih8G2l89y4BpGw06nqeR3i
GK9YrLvppphcfTVN1p1yi9MwBF+5R+nzpHwQhbzTMM+sWayfPeLmVp3tROuorFL6wOhOA3QMvEtQ
kMAiHqv4gYb2CyaWTR5kt1mUfCUa4in0aG6IXoA0yC+1LwNjQN6PIjMoxnDtmCaeTHxRygkAAKmE
E7fbzB5OwznxddHvE5MxR96N09Zsuk8atHIjJMhjhKIvBTIczyjTM0QQFAxpo0itQ6CcjwbHe0OS
B/EyxooQjGLFqLi8zFP9WM3JHdB0d01MeL0qlEa3PZJElnU5/XpdnHRuxDNIs13nNi9KOmcKyzsQ
3mrtKFZ9mjHPfpYzGcgRHe28KeedaZlvZV7duz0vvD2EgMvnK6jsJMFpxsbq7TuvdJmLBfvBYrhg
BMHBQV28snnTr5BZ7cYZOA/cbYzfYYJHc+D+j6saY8g8vYfEsKy5x8il4RldtURRYT/Z6AmMmsnB
WJ6SHAzjyVezmW2n5E6DdRYFoF/C+V1Lpve2x3U29g9JaoBGdm8Sk+pxCGexRkGGC19pT+DDcm5s
Z7sEdEVTL49s4FAdL9pcIipCNhvTO6/rdMQuvC3KUkBJoRgyNfFpjs0l1bXLSCbpVrlTzkRrfgfd
tp/K1l4XMpt4uVh0TAOd/VQXpDRWw33mDAVI9dbAQhqiQLYkj6enyxw63oH8+TczRcg22WmwQklF
rmuq3VWd/tlkvCWEzNSxcJzHsq6uGmx9K3SCnwSKXTswl5p4lECtU0HeCmQcacQ7cDz1OTB0f8wF
rzbP+AnFHAC4nHdT1+avIkuLXaFxBofKxS7cs90E87APoD3tCfB5ryTlssfRKBK1q6xOI8xYXOY2
um6WcDf6K4j1yrof4myAxVvcVI3ux7V4KGfOysK4N0JAqcUMwkcvnPcQMn0pI6LfhdoMir0RLtRH
8DjGGuPVom4D8FrbvKmTJnjt5fxat9Vd1Agor6mGsdzothkH3Eq03X3pgsGqE15fSys2rsXwYHAC
Ahqz+iOuMZ5wyheRd81B54dVlK1M0Tywyn1KzPa5rlxrA/jvWXizvjfMwdhAZsRn0sT9RrmRvZ7I
2KV5qSB3Y+yum/g+lxYTTdLEg8R4HRLWaF4a72ziF1lpI6CzSomI2Hzq5e3QHOfgZVAnEVm3OXoh
LEJPsUYGLZ5kbGytD7WISEgCcMvUaPZ6LD8NDvqtMXo3vYIpUAkt2GvI1Vgwz4o6T+GGE2KDOOvc
lOldT6ySw7YOmwOancm4z21y4AocntRvz86Cz9Wr9li1V0vmfGvTlYQOJnTKd+gYnvLNqqbGrNWz
Mc1+mtbxGZq5sSNe4OJNjrbrCYzbWe2IWxlCMkUwyjw7yLZDGR6ReWg48dGHQpYJvQrFpgW2fiw+
YTJHlyFvkX9R+9vOc1xkg1+3imlWW+H7JihFkazF6+zQgADPh4asgnXB+XUM2tm7NqwaFvWsMWRp
WnEAwXOV1pHrvndimvx5ofVGJdGpXB4xMohwl9nGxSztA6fRUWLuSEBlslwg106rBeGMTskJsbCB
RaPto0pc4V8L93mkf1oTU5sp/ODKQXQajSRLapsM4LBJqgKUYj6SllFskjFFn5DkJAVEPq4BE7I7
02zEGi/RmPX+BLRiO1SkCdKwYhEj77DXUEI4EhD9Ji0/Wv1oiOAuAZKswcOmmMbIUY7BWnUZ4VCp
/sjTzy0OZLkc42Nvhs6urMbbupF+7DZ4sSwn32EtQbZP6MJGpeUyGxxeckZxjLzubTFtZGo/QmJD
tR63i6/gMMB+rlV60/M5AQo77oy2BLklvnC43rTekJP5xVtAQZIGzLLjgENdJWqubKO5yhfsNLPD
fS5bk/jE7NrxqOyTIOrgFSfTth4xKHLup5togVmzkNlmC966lGCFVWG+z42Zk4w4oLXAjMe66Ioi
96WGkj06qUN0obYlnmeJYXzlaiFawbyrq/7EJ3fvmDSEuGQeyxkrTKzIrze4amFzq6A9BbC67dJ4
GRZ4tw3FuzFHIsdAeoClRCepQSrwYH5jfQGEr6WHWR1rUV/GMNyVcFQ2HZjwyEbzIjX5iCb2MhOt
BZHtI4UqXhEdxss+nUn67PbTgh7PR3nJDJfAroyDEDq5bit6NHjlSYE7FX55t4DMwwVpLmmq4yHL
wHHrM4Q9KA3aUJsbdKBslRfnwkDaysrO8olUM0ewyK/3zYJRr/X4w4FJuXbH7sYpG1DrNXrq0Gua
c1Yx3Kggsqd0WxxKgZ+kgeZ72RBTc4KJgaKQurN4kK12lAj1fBkVB49qi1V7abENmXtPqn/3s/9R
ltAg/e/t2EKiPHeq+T/XH6op/2oSybf/0pVhdrZxo5mY49zFCv17V0YGI9NJuE6ejqPu10kkvjjM
sOABdFozRHN8109pifjNhR3sQn7S/6Ol+web2v8xiaQNcxHmCZN/D57bn3qy2rTAvkonhBeD5Nk8
KRH9eI/8r5NBwqL/2PeBk3KBCSNfockEYPVnHEBmFLpXptN4FSasBaLO242mGdc7JxsvIyuigXjc
qfFnlE9MOUqwjkbr2vcmobXc6uQcX5za8RrEHEF16WrNxYfdWbK6SKnp41Y03RRu9NIARNkMOnXa
oJf7JMqybc0iyB/Rtfh1EZrbwYDDUUei2oIXJ9ZMlqyWe3kTO3nolwTKbDpsUL4iecRcSCCx5ufZ
MBf3eT1H3wiP7HeWodgtrl3U4VsvnYQJUASwv741SvJet5HIdOueXGL4fJzf1W3L1rRW1cytahCT
OEYvVmmcojGiHErp2xIPzX5f+YA3z0MnDdjy2lUX9U92Yj0Qq3dfJ/M5zPsnyYFB1VyxT1biDC1p
G4rqHEXxwQjD5GDUGM7Amp+4QtgPZS51cOHrihJFx04/F9MReN9rGcfTOk0dSTFWXddKxnsvj87d
qH9EMmEJUpK1KAJOKjc1UGkXWCY9bzuBn1wRLWRS4VG+tONo+xhH5hMpDaeec2jMkn2r4bbLUrve
KIvwxLnE5qguGWK3bWCJahVGpT/P9SGo1V1kV6kf5zZlp5Yc6pk+KyRiO29GQsyi7J681FNksV3W
Jl1+mXrO+akmtk835W4seasSS8h0ERmQBvSJFOXDWFaXQRDOaeAaZpboIg90ub/D2F4uR1rJUWDQ
y3ME74GHRyMQSPSm9lJxVWPaqg99MuKRT/VPIbuvRma7PkjMjOY4Wwg9uKhuy9wFuzUKZTOrA6nn
GNrRQ8LJtkf/kmjRYZbaVWs4jy36QXzRkjF4DQXFXSYW5zlzb/s833kxXpE62DZMMjJJ1BLcRd8d
WnNTWTzx3Gf7Ru+fjZmgnRI8PqKNN+Rbl0JvLXrQ8Win+s3MP9obEBddvPbC8LtSezcb8qm08VCI
+WwF2p6dJFvDwp2PDhGlOzsOt7Vj0wsaEFPGD4x8CFHc9iSy5Gyb000YwDpDqICYPPFe09B8tdCS
bOrBOHsCH/ggrqtoP7FBW0czU3N7rnZOpD24Y/Mokp64qGTc2BElZl+aK8wq6IR6hUE/OdAmpNxA
xlOpRQ+EBTxqZUG297BzwvKb6YzHytOO40jqJFr0I2JVP4Vas3KdhpRWA15oJ9o7McRHfr+TTUAj
jQgFm5UCMy0ApppWGV8RF5XsRy0zX0FvOy+NW5DfM05T8Ji1QXI3ggtfjawHcbYENQvFFoecliTM
W9AyRC0qkcrUMPbzsTj3JUTrTsxQcNO6D5p1V8rlE4bLAOqBh2/VrQL3YwZEsYmo7LWGlXTfyKsg
KgHfpFg4W+E1vJktItInyEU0m+TLY1BtdZYNJFVXm7Av3ZVhxCc2k/dZmdD+DvCs+rIJd0RHvEh5
H/PKb6qOUtZZwG+ulcpLUMKWHWcqwEQWHyKkuJLkm/ORg2Qr7Ac9LBOexynxwyk8xyxZCfcMbpO2
+OhGbx1jY3JjkymYpt8HklfZKt+aLkGdF+/7uP3m1MN1as8xVtAIeeyQvppxx1TIeSvIQmBAALqC
vTT6wrhk151jFgDC2gQ2CCVmTfTTcWV+BTgz+mWFyj/vX3sMPzYmS+CtQDtasStrXuZk2JmB82zk
zZPd5RizSYCErHE/ptM594Z9W7E40Yb4OYymgxr4iI7jpQ8yP8zo8vRU3rXtfG038nWM7KsiFmtX
9Jiva+yUBVuvud/1wuOwIJeXV4NY9OQNLHlDNSt9EdsMH+GFMWlSh7AZ0UZbOdwMW94T0cAzmMIC
DnPnoerVsbUkSgKlk6sbnaoAdY2m8hul5nZfxOGzPVXgXvV6b2fWdqnFtW68WDm/fRY5Z7dz9nUS
HpkrvHqs7gPCy0s3ubZsdw+gFHB7wKrKhDzoahvmdaTcMNCpuuBdb5Mjz/VGzWO+8kzvKLrptoEV
uI5Fc4x1jZG/fAt0mPX0iaLt7wPhbIDCzLsGw9Yq+//snUdX3VgXbf/L66uG0lFovM7VzYF7AYOB
jgbGoJyzfv2bh0o25c8eNV63ukVhoXS0z95rzYV/VTXHN18l0HuCCariBF/oc3RyRbqp/OpTljMp
SvJi2wd9hTM8m46gnZi560ewa0+WT28IZqPkXrTrPEPrUJjmcAEDFS6cOjBWiVM/wMAK1orqnFVJ
sBryqpKBXCRXsTta45h7oSmYYUcNlIehZHYSMyhcTQh6mEdE6deRzeFSN7LQgvWhn4aw8d++qc9+
MA790HqmBHFN8qItqhAcOJpFa/y71nMiyCzOfeUqju+s5D5xv5hi8/93CFlpfdPdnniKraTjECoN
A3z6XXkGc/fzY3wAK/1xGpaKl0IzLGF8OA1d7yZiv6LgrA585e3zjGpl/ERD+OeH+TA8fj+MoGhl
H2JBF/2YmxogWTHspA/OHYTgKmb+BRFBqe46k9mxtrCamgbV/v2Y/1lrTG7ST7YS4XPTPv9zriN/
688dBFpPSE4Ev+uIv4nN/VbraZDoiX3X5Cd/kDX+dBFrv2mOSQwrnVQsr++biz92EMhAwUgTHfYe
P8Kvi38jThfGP13EKNzpKaM3QO3JPuf7Jx+0HLtMoGxEa9pMO0zydTVzuKekDTZtpZzLkA9ew5qT
pKCK6gkm6oQ4zpk1UOGj81p0cjkC+ZdAbM+1ioai4RJnEYCscIytk3Zrq/VpLmhbevWrjMjLxcB6
AuHqsREtbldGlAbrdzNWz6AUT1PbvdpwagbXWLVKQKGgladqNF+YSfBNdBlWNAUUjyjrtnFZb2vX
PTRUR4Uu1rNOfp9RE84l+qOlF3c2colBDzsKUDPahLP+nIKdYTv1EKq9WNu+T7p8lU2bWkuRWyLG
w87X7MXIbsHxy0OrU4kZ8SoJ41u/b0tvBEm+QiDLKEvaTJ1yPViZus344w4GswEPdhKdq1zLF0pm
n10j/YppttxMOp7oKIDIoEz+J9K039KyG5dqPiBba+JTQvdtGeFowXNKqHpY2sIDgDnRZnNWWGIB
V7XU20N614pawXaCtMkprkOyA4mucvdo8YOFLdqTm+ufqrDb6O14jUZCWXWyDGLl2aiz86YpsizX
8+sxzLOF6biPcazdTE2pQIMqbJT0RuZNlvFpzqJH+sxLsJPUrQ5jMSOKjiYo8rhS3yB3Wdt4JtVE
j7pphUcaSb9vXHdt+DmM+fsD4h0xFaC5t8h5YphGXGlumIDZu9ciTnYKk58hIAZTRphNrYY0ENkb
5E4yu303ZyIXPhAScjPWpIgWTsmg3eg2QYCLt8oRs7UTSXMDulXUX7CQmH2YG8gxxF85EhHDfW9I
hiSIZKFm5aPWRcc2jo515EY7JdDYXlgtuCYdX6zbTLqXKQbEzraEN1LQO3OPFc6BXao0tKOb6EqN
i8cqrmihp+wcuqhejgTTWYC+FkMPal9L+22lqRddpx8sBml9wrYVdLsmL+86pd8UTQ7Yu1jTl3eZ
VZInEzS9y0RgwPSRhurSUfsHipvXptfBaI6bISonai/mVrlFO3XirCb7UlRDi8Kuv3WSdE1Xspqv
2v7kK9F6Ul1Sc/KzJvKL3vtbKsCz0lH/9xMUf2xzYNDRPhfhvNTnOiUKDFemktG5tRR4ABUykiLn
H80zUXoOwDNqUYQMmdq/wYtKlmNmwOKSagIjab6MMd/6wnmzkZXuCmJ9PL9z3Y2Wi12oUTbN0Olr
3NgGeNHcHTfU/cFKjAZ9YjtkAKU4iFXYZQTMVveFn8TrrDe/doLSsmMIVxj9A26Wl9ke4lXR0McP
jOEydbFsJlq9N7VWu2I5IoWNylOvD3qQtgfWHkkAKG2GYxUU1jxrdyJHgLE2KP/FHXGnjrMJzZr9
ljmVvEtVjhjbHut55XTBqK2cXDHHRdXrhrMlL3wiHc0Qc3QFT3/qbl0109rbwa0V49CNHaNHQWrD
A/ABvT8nbbktglbzSsLrVoWZmOsoEoinMRxrdXDT+KCB22Tcm2berWulHjeOYh2EPZKjQdsJe7L1
UuHXZ/NrMcmNzYdEAWYQ9uyCNUjCe6PgYU5yiHL878w/RfFU+uYzYRb6snVi8gJnpLxu2HsG0Rb4
lgd2ceCOaKXXozcl42kqm+UYuaQOlcrJzOtrxe8OqFmf+mh4m9G2DCNTh0aj6xCUAlSvMe4p3YU6
UNjb5XOUFDeWjDtpdSmqRstAJs9wq+rxld+4RyWeHtNQf5tRW7P8i7ekz+6xqSyVeQ8QLV6aKFX9
oL5J4DEs1JBctHE5EnEQ2ieVJvrSHYtnRnzglg12fspoeRUgfCax2ZVlJzNcPxfluaJc06rTl4Mt
UIuP3WlmQuwKuvFchRJRaYUEid32xjB71naTcEQ3gtFcU2JTQ35qk+Usgs963aBzM2NoK0rClipx
Bw4uu+eJuzWgH2N7SB1YcRFbZwA352wshxWcgGNJhuKC7kSAzts+R0N+6lIIvSOJui4djCZrtkHX
PlvuwAC4T24nOkUrfE0Itl0+ICQx3PkdMIUOmmCRFvtYSfgbu/mhq9xwzVvHnLKdC0ZrOrqFon1t
XPeOBXqtMjYGf9sycDW2oLTv2Nqgr7ZHrw/UXTUYjArKG1cUXyI+dDQ41CtTpUEgeO/63PQ3/qzJ
MMR6Fyg9n4R2CBa6cEm6TJKdi7CBrhN0YUevNo0AqB2ZzTmJuguVyBpd8H2faVtQvKFndjoPYGeS
eqhm/UrVnAoXqG9vgA1AmO7jAj5fv8kVRdtYqPl2LRfUw717VqEEUfq2+y5nLFxZ7t5uxruUBBC6
VHwEWbLWSjQHIIG1Q0pcoscANmCkmKeHQNMvlsbcXmnKatHmarabdXzyKETw6huVj1DC2JlmdAH7
da+oyKmVHD0aixwLnBi2c6bzSgjnouNCJY7LyJZWMb6QOPjZENW5ybFUmMbLSAJj2cDSSIIHbADW
siUQ3M/KB7VwtoZZ3w4I1oxYodkCkUtNwwO65+cAv29n669ugoG4ixDd29XCbVWY3nIRR3rCWh96
/5Xd74Iq2cn+32X36TX/Wrz80BYqf/Gvylv/jXxpnI4QTC2gI/zor969+Zv6npKAoUqFowpS98/K
W7JXEQoD/oETimeCYcCfvXvy/QSWrT9yHP5F357mOVX1d0xfVVbbRAiiVsbqpX3YC9o0rZxMD5Qz
Ay6vayPNU8351R/wgiQiBYFjqGuBBKCe5IMF2bS+cdFfXet2rzC7tGFx3ASBS6fY1SZj2TVaTeBu
ZE8vQkF+Y8EhYdM/mZu4ohEJYYYZusy0RqoEgdShpB/rwdmwd4cHUiruGnfVA41v9SWoUnSF+liu
i9CmSMPtxrqA0gdk3bgybGj+WKjqJ8xZGisRa+QMcG4/5PY+jok6GMgmFSGmqaZTNp3efSH0QV30
FUV5Sm264LO9QmN/Io3CXWRYqwHs9VdOTvcwqynjXQlfqacJ3WJOnnmdjBBNHIwxE5B0J9Dnhe7X
5Wo2hiUlbnOJG9QsWMbSx94R062mfWbdYhlWUKtWQbhEG3cdz22Orlg7TVRy5P5FZ+qrlyYaQNFC
wTNb1KZOL1jfnXHetIRb7XOM/4hdonGXTAwIGlHRVKLzSC7TqBZcM4JpuS0K0S/YxUTgUj4WhtdG
JoC7RiySvhivZye2N3mDWWHs1XNRhuHWTWgk0rvjl5J5jtZs/3PySI0cxH9MA3Fb+4QJzLotKfkj
so/GsaEMxmE424Rilf4tabblpo/jUl3xYOe7vO77DfzDaO9binPC/4mpoXV9Iu755fyk0Yq6xrHK
x5meWZhbz0GdwdBrGJOQJvKY4Mdd+W35prpZ5rHjOqY+agsnns6pmhTkUWRv4Szobwftmf7x5GV4
rT2zdhLPzRN6C721q/vK3hNvrnkQWW5xhHCbsmxjMsdhDup42ig6mDLToLvSKTTwB7R6J1HB/aCb
p16Uyp62hacVRmpcQI1iuKvVKUD0OgrD0xtYeSWt3iOWLwY9PGhnomAZkFeiOlhmUSyVoiC1l6IH
mk63IQfzKe3tZauOGpyVsdkPlLCLtA+0tQBNdZVgU1Qy96sO3dSKs+ui47OsGKemtPE26kp5NWFd
2uEaYQpRzEg5aNpkrUg/qbHvrxzntaWZHaU2Qzf7OIWFu2LTuqlQfVnFvOacz8iKjiLLngidPQgt
OmbQs5AMCP+UO5RiGLcMyl3Ac9MYEIeCfDdGPFZxk5zQ3pdDhG8G09dCT5znAKQqmZnReexh7Y05
ynKl7TOEK5WnWenObcUKSs5zVjuLoUjQzTlvlh2xtGTrekaOkBBlj8VoHejqTdkMJFvFhBGZJBuM
3qCxowpbAbloTO+cVD3rZneH5xyPGz5L6+wDDSWidn4rK+1GzN3OhqlvMKKjS2yASqCrryRe3PfP
IRobTIQrwMBkHPCtbZL8xin0r27CO5ylxisu0RuT4m6ZVeVpYramJCabJsPL4g7+MiyKIOthc5HN
hAHpZZ6mT4N8HrUk3mFevMzFeM4kV5mcKX8stpglPRZS4q+Fep3l49VE7rA+T7vc75YKwqWQgGIk
i1vbUr2sJOikGdeKUEdWoujFwnWeKuVW6VwvCW2c28WZNCpnlYM8JBYV3WEXXPQ2XUZ9sB2RS2WF
cuz7aY0l4RmVPM35kXCw7I1+nOfXAHJc1fPb9LVOXwu/uxkxaMeOijQFk+GQP4jKXjaYZsEZrPK2
Zlynn6G73TaggEzAnSIYb8zR/ZTGs75007RZFIO6yeBLAPjgCcTzxDhmTav3Db7hFSvceiIZowmd
peWwuQyacGdo0xaG+4OqtftZOLeWVT44YXMjM+C6DEhF+VqpRAiQ0rewDanDLNeNPy0TzCwhuQyB
EV7TRDkVvXGj+xlNA2rOmlnkYMPGUreK22+dhoI0TG9jURxbwNDAF0Fdu83CEuXKV4j5VLs1r+JV
4zprzWj2kOo4YLVivDF6Y96QjswYwDT1l6ErHvinzPXoY/YkQsvjTaqW7BQ9Ammfm7zxckc5QHrc
zYq9KiZIX8Q24wXgI8HApvLccGIaZtk0PfrPqCKfWsKYp9Lewa1ZlaA+vKKtt7kjduqIp3cW7FXj
/mGo1c9FHd8U1Km+Oa4jv+PauasAY6TdCp5Oe9OL/jov0kM546dTuts0srfO6J8Bk+5yM9v3vsbO
PnIWeUf2RTpdSl/d8YIhiHSu49o9Gtr4WFoSXqt2nu46d35tXTd1c84bcdONgQptubnthFj2JQ7i
ekalKdJjKgJiSit1MaTBqZYL1Vw8TElLsSk2ZUloTTt4kvvaDLLoIRCuzO/qctpDszsouhmeFV/1
vwRArG4biCferLf7WkUNTWJ4j9NYUeKvWDLv4jazdzroF/Z47aMp+KibTNWI4cbk+NXKaE+11UNS
hzumBmfW22il1slGG5oDe2Pey9ROvFnVHkPRlGvXSD5ldUte75hsEkO7xIlD94yGYF4Mxlp37K2f
WIg4lWwVMUjpiY6D6Rl42qQvkxRhcEjqfYBuyh/3Yz59LRWMuE383NYCvXaOjBjNOMgeGzMLE9FQ
yT2FCiFpoUdg/FuOOGx7KLg93T0mPpugt9e0lVZ5IQVtiCxpOszrEUTY1AaHuhWfCoFBFAail5MN
1UZ0FsNB2ecYk0qVoDuGurVW0AtqT7MyPDZ1+YJdZhXEjev5KRMtk8ZKpvL5+6ak/fXQAw8YEwJk
/baJo991xQe6Y4tdHFVArpzVbBvFyaJAJMtA7+cH+UeIxftBLA0otElpq38w+kdKplrC1JTz6Hyp
h83QPY7FW4DGu/+VkORHBS8Whr+O9CHEovCLSZt9jqQTDGZKyy+BXvOuQFbZPUWF9fvO6H/qVj6M
jH6/erxNhCSYGr33DyemO0XnIDQLLr3y1HaHKnjJ05efX7sfnRHVMsWyxM5gVvy+ce5b9qi6Uxle
AADEw6abplUKPDALEDUzcWt/EQPzgzOiu8qmBUGPqf9jCNbnVqNPahtdIviFkUHwgVS9/OKcvhcU
SeMhd/ubg3wYgzW+0pJUyEFiaDRtfYRx8ovp1K9OQ/78m0Fb387kAGCTudTlyRoI9y4++Xb0i4N8
GIH94zQ+3JoymZKyz5roMirGAi2wG11oNLPAPYrIs5qzTvvl5w/Dj06L9Gr8oAIjDtyO708riWjq
5jjrL3Z1zaQUVfDO/pdj0PezMuAQmBbDUB3h1/fH8IVBR7Cv40vehKvMQndVeMwDfn4iP7p0oGYx
nRI1Ls2n3x+kGELbjiJmn3X5mFtHOfyJWQxc/zbuDib80cG//vkR5TP1YSvMEvf3ET/cLJAIZIJq
U3xRR4VI4M8GBdTPj6B9f3fkcE1oNgmN0rqEjk1u97996JrChNAxatklPtY78ty87gRbbCWuwxvh
YQBYk121/vkxvz/k72/St2f14ZBhr5I2UvbxpbcatslglGi06cX250f58bVjOK7y5RS/m7a+eZsQ
3lt2m6nxxa+wI2gHx2l/ce3k1f94d0xNPm1M4clt/fBgl40eaVNDKjO6ksXk6FSbTxGTL3QrvziX
H12xb49kfH+T2BEXNVPK+KKJ19C5Fv5tNf9iefvxIQQOOwnXAcHz/SEiPJqOOQfJJc/PsC7R3usL
vbN+8VH90SvEw/bXUT7c+qTukSMh67tEyQuuB99QVoTLiqTzCJdRkk0qfnGP/nFaOohFiIjvmlKN
7v/3p6W7Php5u0gvbb+panh9q2q++ZcP2odD0Ev79g3KiTk0rJAp8UBHXlOwC8XiF5ftH8/y+yEg
PCJZIProfVD9zbMcjyNSPXZalyZ9UeYdBrFfHOAfjzIHwDsgeE9ovOlCftC/OQBLpz1o0nVOnZd1
wkN9GaGByt3X92v1nxhC55b9pCtb/IjTJ3/nz4YsHFFqTK680NkF01z9uyGL+9UiQFdlf2GR2Ca4
d380ZA26rhryagQt3DWDJ/3vhqxNuC73EWkQ+Vb82r/COhiuXGH+XusErX9GbeTaopoBoIdP8PsH
pJlZgzrRWVeBQYg5M1HGFfQe8ZwsGWD2M4nNfqf3zM+B2qJt9u2CjiIj7VUXxe8dFDU9OV2kZnJG
wzECwhImxWQ/TNgk+8o2x1NhzFi1iVpo6Sx8HrpMKZezGpAJu0hsxS13DRNKHBC9sMZrsKUgYEKF
WQYOdLyzY/5Zh1Dg0bjetjlmgqbpW0aW0i0Z1cymA6VZ+536Kc71U52DsC6yeAke6iafImx86F8X
BbqGssgOeeUftWG8Z/pP2oqNircsM7SouzQL2D4HDGiRGGPIsVHqpiPpCREJGrjHSXvvx/lzZrsX
TSXlS6ZUK11DVBHxPgs+v0SCZM6+Zvumj+24jLr+oaWNt9ACPLuRiq6umC5EjEyIJ3rLszq38+Ck
tp5hz+OSCWi6VKd8Xk2CXR98x5UqOsbhnYZP3+m/MqU9pOiVvY6GLNBA7es4EhPaiQbcTbWNkCd7
hPkeGWWVXlTX952YMi+ucF51rMI9CeLIJY1b9OXryu70tZ/4SAAyRJG1X+4oFlAdmsVVrBc3VTV4
LK+HCJpqSKbgondIELarFarQL4yRwSiGPSMiWtxpskxDItR7HFYmTqtaWq5yHxswjWp8cWmRrB1p
zUJscMqkWSuRti2chxtU4J8ZiZEPIa1dhjR5Ed1+GW2CM0y39TSsYH3HKLhS68+BdInNiThM2Mba
YFxZ0kcWI7BJ8vgGufmRgIxlIh1nlvSe+dKFVko/Wo3/B3yZe1GlV82pjNdCutc06WMTGNqEdLaF
aMRzI7mj3rgn3WNRlNVZCUu6MtIkZ77b5fDNxWl2D2GL4K1w0anGoyqddXYsNv2Q3o6JQPAvpXSy
dRe++/GkM2+WHr2ypE1mSN9eOAyfcxtPZoylb8Tap2HxMxs0FgGmP3QY57gR6CHoHIv2yyjdgQ2p
jl5nMzLF6bMspIfQwEzox8gwCukvLKYAPSiOwwrrYWfNjzQenyrpScRpFyMexacIr1XDTNvd9dLD
qEk3Y4GtUVGKvWq7z/m731E6H3UskJT760haIrFGKkZxISNloHIwbtHeOUuHVGvkSwRwYayM7JKx
IFbLMUoZQ9j5JseESX7NuE2wZXbSn6mEODVz6dk0pHuzxcaJzgNRQ0NIXCo9ni5yjyXBk5tA+j8j
K1ln0hHqS28olhP43dhF02Y6a9hHa+kjLTCUlhhLaamF+1p6TS1tfE0i9yaWLlQLah19GpypzTy9
DX1GbLB0rfoBFE0KS6gp0tOaSncr5vpby094dFRDWuGhORVlhHsJVIdnFuE2CcZnK8Q225Iqthot
99SJ6gQW/zWhGbzEiQxfjpmJJ1ob34T6Vg/mIShw1s7FY25j5KCO2NlGMnjlqCFPrVBaQdjEe2/R
+dTNXdBmwWKOWUo0PT6h1d9Pc7iBU36wXZ2emn/I0ngXttWtHyJ5GN1mmQ/1keykMwaUT6UTYhCe
AAWga7UOLusiayOtNaDqDPA7CWQvPufkKXn24PLOkpAh/KFeDQEq4agf7t2m7WBdKbzTOY36PEoe
R6M1eB3HdQL+bZE5RkGog56tkyn8rA+vQw3D1RZxtMonk6Cn7HFE1LTRXBqGeANWfl/c1zGhRTDx
73WTAjfApTwlNv04g65kU7y4uvk01+pbr/EwlLn1qay5YYOJnFek4Ga0IK/WVWZf+jhZBXAMFkqA
dixN+yua7zecKrO68DxnJrWmWTle0IMAnFP7aDNyXYaOuusKEg473xl35oBDp/QfQtvFXZNGrxmh
rwvfJA9Ho8KT8bd3yKlRb9kjaTVj3dPZ/a9Kep9dy93n/66Sjs8J5eRHEIj8nT+rJOBXBqU8aWoo
QAFcfTu2RjCKWlRDBm2AuzD50Z9VEtkyFC5USTY/VKmK/q6SnN/gaMF0x9FiEfEm/lX6J3CRj1US
SlELnBB+MBXvm/2hjHaZoxrktIlz0qfBQQmyyr8d4YBUW0uPEiyoJngl2wy8yhH40tN0Z9awFESn
iC1Tt2KXTTrptYPqMvFMHXUtIwoWJm/Pwsi0oyPIhhjA7CySIN8rbixOtgydHFOIFFkA/pPmtTs7
ryLuSYWeQBcQ2zJnnhUC3xmHQ5yna8WhZwE4t7tp+2an96P1lNIZxlcRuhjJ4k2qFtuZNPFBD24q
Le+WKuk1S+CIPfED9badtSu3cV9tnwAMwznPlbNjobyNHNKqi+ZBCZzywNz2UIXuDk9atNPc4UE6
URwlvM10cYchHyCy46InhYJ8qzXBI/2jneGUq1j1Hw03fe6g7y5wNsMKaPthQ8wVf7OJ0NJAK1bX
CNnswj1UEqeV1PohadKrKmUixeTrVGXmcx2253bO31ouNFKTwpuLgT26X0IBTmwPlv0WozeVFCJH
QDELd85p6uvxnV0afIDtCY+78uDU4fU0MCIJ23jXBay6ld3MK5fZSuHkhJNqvkV/k9CHoXrkK7ZJ
CoXmiVHP62AC+xmU4UuTke82lZpY8r3bWEq0TwPX2GSOfpWXROoMbRouZSFW+qG5Muq3jjSxrZVY
LoKwCp8GKWlIlN+Y0zICdN1zlXZk8ESEnfd29cmpHeWouOk2EfV1GjRbt6/h/IOTR7JpeyLIE1wi
wfREzbh3AvOrjS2SjzyUI4LEH01yJ0VgPmFQuq4c5VNfY/8vMRHVbfgGZXRaF0PirpAmXWU2JCW8
F4va1Bov7obX0cGIgfsPj1EZrGO9e5lCOiE4FdZ2n7xMtBoIU6mJstPBmXzp2fccRyGY4WcMdzat
owlEFAIlBudvbbNJwwvii4h5Y5/VExK69/l+xmqwZEvC1J9vOEF+8orPfHkIN2lxeLQRqkkpGvCl
fiCXSoIJScHMywAfCpUBbI7hupTKg3HQ94YRG56JKMGQ6gSS9pRzHFCl07IuVjjjJfxbChoSbVJX
plQ5ZO96hwoVgSM1ELZUQxQRIXFTiExM7fv10GYvjhqcK7yJCxapk9EhtcPfdj01drBs0viqsthJ
6NrnQSoxak1JHnOYwQu9ypoLc7ClJpUbTssDWVsGSmdGwr2JvoRtA6A4EKQU+6g/Mh2Soy0VIdrQ
9TjDTNxpqEVsZCMJ8pFE6kg6qShBNaku9Kj5UiM20Qx2LD3yk9zC38a8Y4/OVOzZdDjL4l2t4uT1
ky4VLCInp7aTqhYzImo4l0oXSeMF4Yb6ZW5n9aVCEBNnmb92IW8SsodaJp9HVqWEpL4ik6oaoMab
PsHUqUmlTeRb2WI2/QMyvg3G+auIN8ob5m4fu/V1OHDWKjIwLSgOSHY2Uea3q8JlbBrP9YkcDccb
Q9AohtNxh+aUmixZt3E4rbM8w+8emYQFUkEUjjg4ARzwoQSfIpJHta83ndLczknfUw6wCQwpZnIt
OYFSC9ZTR1pGZNcbvyy3Vtcw3vFDGGNFtwQFzwsLJkk/OWP2ielYekRAesm5ohiFIneVFYJo2Eol
A6z9PFn5ejBL4sGc17HQtUVaZPs2GcZVoI0b2zJv/6sQ3isEk+7G/64Qbov0+UedFPlbf9UIGoks
QLYsRAsfE8L130zVoovGmMDAz/FNjeCQyEJcK50XbOsSE/5tjUChQSFI7opOlxef+7+Qt2nO9y1Q
OikM1mV+gkrSrAUmU7bivmm1mU4GRKbTp7PTBvXFjlHyR1ppPxSpqe+nIUkegW7Ya6ft1dMwsTuB
oR8uMW3M97Y7tLehWqTYjbXoQDyJv7KVlic6AtHBRPwqTUP31BuafxSCN4u0Dn6/d1Rz2c2tQ+xz
OW4VLBGjPldAecKWDa6RvES+SgpyPvjyi8gCWDbjUxaGwR4447wwlTZe6rnKHslxSuwi072rV16Y
Gs+Tn9n7DofPui2U4ZCzR1/VBbqZEZUV+A71DK2zwBaQIIiy+JxBhNwali6TuIy2XqjIz1AMx/Fr
OWmDed3muOnmOUA+Xz6GY+CvZr/3oqTcxwU6WZoMyU6f3QHXo61fAi0gmXXaR51Rr80yvxZFpa4i
tVU2rRXM+znojH0YqvYqNdIDNLFmB5nSXRJgYoKZyM1Vr+v+1tJ6ZxGJgPzVjKaFX/TXc007o0wZ
p1OazURIEXOSOBBQAvcqNrCr9BNXR+mU8CYaSobCkaadG7SEy8keShRLzb7T4ydC20eUPSjs4GcC
6oYRFAbV3MqOTrhCyFsvUwUgi29p25jM1EkBbD4KNGttQptp7srnvgji09iar0oC6pz5Gd5HweZ6
wFIEi/PWMuzrzOb7lYzjRu/Te530bPdIZwQBmZ6e+0q7FLpzrwaNjSEk2gEq24w6Wyy7Eiu/5DiW
lSAo6s3g1DRYHOw8OzSG9ipE0a0ba7jtQ1IVGvTaXqLCtMoyqEyBuyWOeNMb4hiP7gkywSbUAGPO
aUBKn29dyAxfz0F0zmY+lBZSK9eUW1cxnQQGgzJR7vgAkXQ7mgfCxvlJ5z9lev3FGHCFuqHzQtdt
U4jprnJJwBp9EFVF2ZAGkutTdlUlgr4MLr/uxQQz4mmGwCwNhOwI/AWfsk3g3FGzSKRfdBNC8tJF
P2MTmnYMqMR3/y3Gvy/G9JN/thjnRfb8zw2b7EL/tRjLDZvNXg1nrhzNsxhKyc3//T+KphssuWyV
sK6qdJbx6v21YXN+I2oLg5VJ2oMhMGx+txgzaOPfepcts5n7N4sxxpTvNmxyFEkgKdtGB+GyweDj
Q1s7ycu0TNQYVd/7AyTks2TIp6qOu1VvJmTgZn6yVXwSC2LNvfdbCjEfY9lSCPtLm6W3Nr7Vha7q
S8TA6sIvoy+dou6avjomShx4NaGFCzKel77Vt2tUP0+DTe3b6GiEsqraUTGSDhCdjVbZZazdTTLB
M0Q/A4i08noaQwu7cbZ5FK/mgcqPMM12sAiHUOZLYnVg9qLhRjfaR4wcCslf+fWUwMArSuWTEkIJ
8CGlL6oowvJugdh5SKPpaQhUQrFEfNPUYM/rqvGAQhzQ6aSreM43U1HoJ7U0z2E0mwtVI8JLlFd9
3h2cxv9ausMh0q0nHRfbtTnSkAlyH0AF5oNAVx6HWqyg1mrP9YRBb0iQQDf1faSrXwOUaxRmRuVZ
aXo32gqmJrYpRepuk8Q5TWkQrjTOwVeTUzSXz01cNOveh8o4TG3mhXoFmgNIoT+G1aKGtMC38Qxw
+gk/PuwQm72FU21aMykWiHVlM1pbO02AF5ztuE4RTZT0ths01Ztm9z62oDwO4jT0MI9ap/caJ77G
BU70aT4enWY+Do2jroAzPkQhCsxer+gwu8l91bAxIXb9QczDYWCFARSQvRVOfWLvHxzpj1+5oRku
8xaSf9PRn271beO7GEWr4JOe1ju1DCVBq3X3g0X4MgOTr3lg3wb+tCGddKSwpKsna0jgb68jReVM
cWlRZPLftrmsOs3ecfB0UomGcYvkQdamFKnWsZAVq2tj3pA1LGGkIe6Z5i3Tqm1MmWvx1fFaWfny
P560rlqVRYffSFbHPWWyRrkcUzabk7ZxZR1dUlCDKna9tigIWKLY7mTVXVF+m7IO5+O8mmRlzhje
8RKK9fK9apf1Oxa3jU5BnwhznZLQgVy2vjaTYR/L2j+sp6uazQDQ4UM7CzLI3hX6XVDUn8O8lQFE
UsFvSTG/jugUYb8jRf5q6VY3BDSi/NfGaM1wYQ2fBFOA7r/Rfn31BRKJsMBuqyI7s/PxvrHqL23C
nrksimu+WxukYtdgJnfQOoSHmXhZjiQhGTZwvFSt145orzQjNTk5QC+2rdDCjrdFOyIApQsIGM+e
0fM2xMRF2bIFPmZY0/NoQTkZxyfHp8pypztuNDu2WCFLXTnmVbgJE1Cv7IctBMhBnC6hZm7jbFon
DpqlEfw2tNS9UbaftaoGvAH4R8/GdZ9JeX8UH/8fe2eyHDeyZdtfKas50uDoMahBRSBaMhjsSWkC
I0USfd86vv4t531SSlc3yyznmcOUSFEhwP00e69NqluGSQ5e2ezuJiyJRV3wD/LYt+lOzsMW6jRN
83BINNJvs9INZNEFceI/FykCua6NAX/4IsBHCaSocAaWJIRAUDFiEf3WQYDWmfnK2SWDkwLJrOXJ
GtLD1ELZKgwdG+E08W9rg9YY9kPXfhva8ZzOSPBT615PIlxwsr1cMvg7ll1urIy3UMcw3BBMuxWZ
fmcP4XsD05TlXXHoiYJad+64FxEOLa0B6w2VFqrYCKcnWaWJ7a3IAFzH1nCa3PJi1kq8SiQOWJH3
JTdJCXa8/UAp0pKh4rvDdeKMT7pRH5RSFW22u8nSnPNvLjWgbdWtObAnSpb2bOkRy7t0T7buqk7G
q9BZ7nEWgkfpb0JjODJwhzhioyL3ZbAsoCaddmNq4oD7cAzYyi2cwubWt/sLvVy2XmmNax90SFPr
inILPc8YvpoJ9M+J1uQAKeJakJxQR9GNWLxL35PjelnwpDrLdNSdbI1pLl5ndZRuCi3xD2Zkk9US
z9dmrrEBk9fI+D5Ib8V7Wgcdzs6OcQ/uSfLDJhIXZV9f9673MCdDvC5se1jPhY03IjXy5wxRcRDV
40faDWCZ9Md8KA/4MC5jvxtXEDBuB1TUBshuO5IIRkV9Fc/ztkmXh0zgJLHH7JETeNOV9k2rhdUq
0v0vmtM+zc18MRUxNvahcNdm7a17gc8rYwo022f0qheMLTjGLXlAeUMZLcJGWnviXrNHomunLBBY
wLfagkjXm71NricHDOAgh6eCKPkqfrNGcwjgBQPOBb3rL8tZsLjZUC5EQWQQl9IiIgzN5sPtqUn9
Pjv1CWDYAfR9gN74qUqN66owbrHdT+RtWKs57r7Blcbx4B8ZlJw7h9xFg/OrdUl1Adb0MEvtsZ4r
4jDITZxKM6jzRAA5ms5jxnbTWjxw6NT5+ZAONy1+6Y0NEmBvlTrlczgWM0tVc4z/lW/4l0rNTynm
L1t314G7oxvs/xF9ML/+tVfsGk9Y0jchR94Vq2d7O143a7xAa//l/rY7QYLZVOt+n1zaO1wL+2ob
M8zbp6d490+B+1ngKuXwXxe49+/xy38qcNVX/ShwFenOMGwmCqSCfSLgfipwWUToKCZYw3/ODb4X
uHAqLJuYDA+yhfsJJ/+zwPXh46k8Rt3/HDawYvgb0wakfL8UuEwbEN/aQv1ZPi2m4xq/PkFlznOV
82OcRz/OuoCUsofI1vepChMaSBUSvbWsbeV5DckAmlX0EK8OKGLSiHobOXqNEnsbpfLe06pmN6QF
jk2R5Cs4wJuUXKPIUAlHy2fakeNUgxaYZCB1EBtvJTxbHC9OeImq2Tmksxs4jWGua3dsTzQAA94w
I97OrnjtCZ7Xw6Hf11N51X7mMJEcnW0wMQPinm8wzjo3jYptijICnPQcunPrMVTEN8cUDvjkSvo1
pjl+Km/Otmk0aHuhYqFSFRCF8ORNlMY8BN2IsaovcRM5Kic+UuFSvYmoIQsJnAoNPHCzCqHq0V7u
XZELhvyY1VTcdevCCIKx0bKXJAy7NZW115xOOTnZKXnZM7nZfVso/63x0udEajsqXLvqRxsjLlYK
u1vDtboYNZ2byzHhkxYN2NdY0KkPLUZ7qrP2M8Lb0xQf9M4n2xvGiHewm+W6nTIZUK48mY37rSIP
vOHoQH8fH4VnX5NXeR+Naj00tWRa+B9tbR10ssXtbuoCoyNuHB61u6vz6jmd8qNDIvmcEk0uySif
VVj50PvbhPRyG9FXreLMhUWdmqqI89LhY2FFzARWZaAnCWaXTOWiGwSkewSlZzqJ6ZPKTs9Le94w
YZooYyFILF335IzdF88BVQEKdJNFSC9klMTIgJvHSiW0FyqrffYc5uTEt1cqguuTX5CMJAkTmElC
Bakd68garmsFPNAV+gAvyDer7p+ZTbwVUWltQ1O81QqXAIKwP5YhEW8KpQDmatw6Cq+wNB0rHh7X
3aDrCfBAxWFIFJKhtswDJid/h+80XZtexYuAR0xCcrAgOpgK7eCHEwTjtAOx6nQfzBgwEOooZ3j3
a1bS4CESTIh4SxnFQ13Bns87ggcr5wICLBEizzEVagIOPr4Lis7Ym88mNAoDKgWFytnJvINGZTAY
h6IIwunk8z07q7+rFdjCgXCRFc6T6xfkweGansxUBiE0jEzgj1V0jLJ/dhUuo5qZq1Vp7W8612/X
ld/7qz4tt1VWnwyDTHRQzR38jayJLnuqyL2AzJFAyTMgdVgDBGpW/zztM16y3GBppOdfYkAftgNp
xNEn95A27qXhF1cJUJBc0UE8xQmpsmxhlAQ7JIqhiIASSQ4DYBEDwIgANJIr4oin2CMOEBJ2mk8D
Th9D0UlixobBrIgldmzZARp4FGOKZ6IN/S4iW3DlO4QXaoxKJyd8WhQFpamh8SyAURZFSKEfwL2C
Fa0GoBIu7XujiCpc8azsoEkzNUOipLgrPh8rHh+UCSBZ+om2wlSUFrpkK8hGtlAZCBec0RcWSJck
JjdxVpSXHNyLDvZlccz7EPjKulVEmKYnfQBM4i06vC8iBDSBOu7GUBwZyr0Pxx92vSLMNKUXboxu
vGmBz4RAaMa4O+mfVBpCcqDvg6xzi5sccM3sJtoxRrqeKKaN3s9HB8jNGOVwXWbDRqmVE11XTtkm
V1ScRY9P0AYxvjH7Agqdf0RLeE8QLntmoSKgFV9njtO3tqY2qyDv6IrBw/DUWJcOXJ4pgkbdg+px
FUxgaZYbqSg+muL5ZH50NxPQMijQD8I43y9GxqztEbFgzC0Qs8dWfCCTPnadO+TVQJR/LoAI9ZH+
0nRzwqARvpAHaMgZigcD8NDikjrDEmVjjdZWeZrHyrvAwr1Pu5DASh4i1kLgfG2ARtIV3xZRn+yI
M3sGeeSAPiLL9Z3669SDRFpAp7iKkdTJYY1o/wtbWQjmOCBncEphpmNVCzd61GMf5CFgacbJXRN9
xNaLUUkOQ9G9JxXptCA7yXoOysR0MDDnClQJy78H7SRMODRz559bH/aCYU0U0i2hGjnBTK7CFoyG
xqavvSGihubBXYCTyuiFu7NlSRiTOBjLagMllxgNT/N2mmsbu7Zrn5NM3Nkl0ecMth+E239JM2gz
LecCg3mARblbC04QsOWG92qiTNm1fkuvWb0C1K4AG1VvXbjQUKViDMrYXK7KLLWDsG6uufOYyPBr
E5l+vU+jhLGEUl2rNn4xvJFvhxTRbd7MuDynqd9hug7pLskaF8AgV1Yk461f+SPc1d5ahemA67rn
BAs9+yoGeBnUdQLDKQGwP0R7aTPLdjknSTcHX1XeyQpNUqKlXzO3/mZPNAnK6kxYyY46QglFxzuh
7NCNMkZjWzzUfcxVXFoYVZV9OhGLhL0jurO/WEGEgTRTZmuvmM7o3EBY48PWzYQyGGc2SQeQT/Bq
T1gVN1qDe5q4LQLt8QrXkfasK4t3i9eb07zD+W0x8IkTy9bW+QB+Aw6h31xVeV4xRGgTPYpoP5tx
gdzhN/HlP3X0Zx1tUFb+dR19em+/vb/9PihWX/WjjoYtYcOWsE3AblTS/NKPOlr8wTDYsSClodKh
Ov5zUPx7js8PIIXzh2uxyUOMY1qokf2/tbUzfu/EPITP+OU818cxR1LYr3W0qRmT6JssOwvd6tsj
25VaRxBXWNqTR9AX5Y7TEowxgMK6ES5VggGCpS328+Ggh+T2lhWrZwz4vfeIpx3iVzLes3BsL/SZ
R+85jHBfOj1iDYltb1104VlmsHfslBjf2oA4lEzFbZXJ86whaPVd4yVETL622+yi1pfr0oHz7obt
I6OSXW3jsh+8+XHRpzendm9rk4EY7OJ6H800kcDRyFHzb0gz/xir1iB3osBBL3RnU0999hBGxbVm
gTruwQivs1mcvSq8mQp6eUey8I6IToeR4e1HB1VBkU17BVu16hnldiWZm6e01lXVjBusVOm+Rsy5
8VuklHYVOpuiiZ+HrOmD0q45EbIQGFqtiy2Hkdq2meBvJ6eP97AyI1D50K9RSdC1cxFr+Z5tnhpR
oaXthMgvEFtFt27vzlSZbbSq4AGvuHfsc+Jxw1GCiCspwU7MlnEdl6AQyg7xo9O4/a5N0m4bVwW4
z7HgjzZS7yn0m35fGuYSoGQhqW8UXAJzFkIkFW15Q4NiXnh1i++18CWz5Y7IuuRouZojDn4GV2Nr
UD+N0s3Eq2hMtq4kBrpNSks+sokKvTToUfDGSD84ZZetbhc3qN+J9yDUBk1Um73n1fDEfPWy0vUo
IFRll/fcia5tE26nnTrN4EEqAGORkwGn7lgb7RdDyy7TKVFjLIKXonja9OzPLC4ClPbE5s1MoePe
za7tVCbGBgmViZzHjtPlxEackiCbNlmt0tgseNPINg9DERJ6FiIMZa7pbYol+rbMmE5C4otX7NKK
bYUiZGWD2F6jYPsGd6NVV3a2ZrMI2TieN4PoCWuWD1whcyD70oYSMKZrKZnEI0q76oncBe1mV3tk
cpTjXrSZE34neqFVjNHcxT7KvtEmaMH2szX9JGkURMQF+qxfuTY49Ky14ePVWXfUQTk5yQxFzAbc
keTgq/TC+OrMcG5DWd2xcsHCLSdcySUppw0LRT9RwjDujVXnuu9FGL3lFWM73q51n0qAd9i6Bpv5
kUQQL/QB/F8ni00lWOdg1/a3Ho8+u5EoKPW2R2dn9xjZtM/AoiR1q+xYdn11/8/98a/7gzP9r++P
q/fx5e0/LBoNvurn+wOZBjYmg62vaaC8/Pn+8HQdazDEIk7xn/wzKEMNh92jYyAPVV/+8xxGJxJV
HfeegXr0b5FEEZf8+xjGVTMd6LZcRfyBaqP5s+gjHJLatMNEnmErm9Lt18SSo5Tv/Yd5MaaVLg2I
WEZ56S35rSetV1nn2trFB7GakFmsZNLpK7UxItv9bOoorGfNeWWic8oH/3FZmgfyFj9w/W8bzalX
CW7evC5qGjOHLOdp2elGcQlkgB1BOPrQdcyrSWfagETMWjVwgx3OdEKNGKgwrV0jimDAY9jPWe4+
RnJ5JeGrXMNO30/N8JAl/XXrW1eJF4odBvC7IpsfKvK/rsIRZOE0MovRugvhpcyjy3FbzBV/5wX+
IOHNHkGXHtWl44esIEl+ibWnoU4o5UAKGf5V7kXbhcFDULoMb3hdscITNklNtm08ynZSe2Cwije8
IOcuE84qShp5twBNTcbQXIu6o9GfiW9JzWStOVZNNailG1+zvxRLhsB+Cl0OGj0/ulXiB80EqlUj
qBu1AaS7aQxy6pDAlxatqr8gvBvuHMAnMPLsR7YDLGEiDA93LB0i+urBJuSMMxLm54OYJvITAC01
SMiaXo+JfKLsvppZODigVqLcCsJqKXAkJZeeg1Svkzs9n/fLNDqbASoMQa/RbtbZKXyqekPQIZZL
QCdMofcarW+ud/4Kl/jXxeIEw/M+reJweOjL8msCVCUk4cXKgeNZ3UEOw8XcuunaSct9ZZDpEGe1
jTlnPPl6VawzaV5wlT5JyzkWdZ2xPSARS9jNg1UAQymsW0Hu3FRPh4GBCTF4IdahECtTEu6xWDON
acwLUpQIKtdgiUiNbokYgEdtBLLjNNp28g3QXOhqlHXDC6fD4qOaQX/EgigqA38kTn5s6l2S0GLr
LhWMEQKjBEyhYTxt2+FxyfOn3DY+KpPPjGX4s+5Vl2WYPcA4+UIQ1vUcI9mfew9rz/LctQqciAcj
nFN0LlZBtE1/LAaXpzldnkcmCkAwX3qZbGjALrC6kIddf4Gw2wchJHglbWlWeZvfD1b7EHfsgOqB
uB/dzS7AbG1qGtFV735pqBCY1jknNMi3CzIi3QyJmdJmuj7oT8Pw1faiWwP3iivKs2nZ57nWfd6x
xcBzRRHQOCV7svHKMEHhl2+ZgqaOhCx1U7irkkkFb1mYd2zJUsvmggz5PxOBBr3bPS9DN6+ptV4K
8u2hFWYEPXTWETwv4s5R3jsLm3BmTuikW/e+LKMLNGFfFi8+5f58YxroQHWynvzGfwsVmNdnQ+cw
6RuHggcwVGCdeROmBvpx2JDJKO55jJ/dHvG1CKurPnFuOt988wne26TadF2FVDtFJ6w1dhk3iEMy
KHInBuPat2JlEy51LTP/NiP+cBXLujmEY6xv0PlO29LxX+ewf8ny5jok4wMjmR0G3aTjNpMNIrLU
vqi9zrpeTHpmWcVUX2OT3tWl+BZKEz5qtjwsVXVpLtGrKAXD7EHuSZ7VNmxJr2Jq21VXxx0sIo9k
iozc7ZoYlcGNM4LVasWravxVDRR05fgu972dI5aw2GEKF7KxQFMmDnHc37YRbb0+mQdnsa7mQbuo
Cv6WSdYEdK06URGaFeBoDtK4YNLhWsE/V/7nla/c8n995d+9fAPIhRXkP2UQ/dw2CmCFXOA/zB2/
XPtoi5Aefbd9/Nk2YpslfhASKlMXTM/KpoEeoo//579x1ILktOgpQL6QafT31i/YcH+/95XUk1ZM
B9f0m6/aTMeyg8rF4AI3B3DQpN6yJkw3NWaKwp17jrusM1ezbY1fCBq8QHjp7xzdc1ew85I1CW5d
EJaeAGjoMFa3SVOQpbt29ES70PvlxQ6N5cof+neUKB2UNRYZdR7eESLinMoR+6EczWZbz2Nz5Qh0
/1H82NMfTESCbRPfOxa9ccRT+0FCzOMUF0fXyjAYtEjljL2fYBYjHg3nRWHWhImQWbGQTBJwRQFp
9gf8G7bznrrWw+RoX7NRe0dNA5xKzUfZJM0UysUbA0KWKzrxMfo4BHRRShVEODShXa8yBqeEh1Aw
9xlBKQJ7DAZZPcZFdWM4EbS4lmm0tIZ1MxBMQoLREJ2i5AAd7rbpnJOZh+8LGwFZQj+tp4D+6Qow
6naZ06eioc8wwm9xad+PNpMpPf2QkTrWcuPGA6LIUmjRmax2D5WGBlUOTDyHPM63c88smSjpJmgd
0ktwowW9O1l79EBsBwiW2+jl4JI8xOYM3eey7siM3hCr2gXk9pDPxLUBNHtH75fe2iI3gpn7YJVK
JoYiscfAroDptU1GCh3VEqF+omYM1t5W3UzUhVbpu2HuDrYukqA1cTegxLD3Q+jL7LGMNDc6Gd1S
PGH/JNs8BxXHxzcu0Ncdtt1zMm1K2/vo/Hg/x+M57ttsbRZd7576sO/8ry1kqjfcla6GjxLtVWKJ
cGt3jji7hCqtuwW/cWRIwrLJmj0Vi5E8eJP3SMzhjHDX/5olMwHYYw0n0iLvR6sH7B3Su/fL6WAW
8LfacNjlxGDsWyEetCEkxJLjczOHSMvGiXa9sNiRuUTogZWlAqO3glo/nmbmpPc8AS5gYhf7SpPP
16VEgeANU30fNeNrh0vowsXlQFUTv9cihtxlYdJIfHGlMaLoVzrgikKzBX7cfti3Q9jujdbJ7xqn
QQlbueV9Zsg+qAX7p9Gq7ysPOV3vaKhPF+B6aJNnhxkMYRcpiiCEy30lz8hpwzXkfHb8St5sJ8Z0
0SvJs8TWcOyl/oI6dd3E0yOVew2uEqE0cNw0iCxfrozZ0ljs+NNXfCuE2S5NGCReX+6wZWffMlLK
9vkw4ehpvGM2EdQ4KqF226vRZ7sg/waS2t5MStIdR6Z38kZ51TElo07QcGlWCW9mMbZb+Htz0Btl
d9I8RIMdohtwqfOy+ec++ryPVKj3X99HX6BN/z7AVF/zowHFdsDSnruD3DkfcPRPNxG2AxpMrgAs
Cahgub++WxO9P3xDETeUvkOwrKcv/PMmgjKk3Apk6/GbuKT+hhCAXf9vN5EHHokLzwddRFvLD/Fz
B9q3E+Y/I53PdQ8nsebBZ1x43xs4YFL1TiyirO4p+fKz0RfFXafeHU0XqL1Ak60FL1aE3QCegmVe
YbDQN32O6kW66btJktO6V+9mzEvqq7e1Uu9tpt5gH9jlGjmmu/aHsMLAPp5a9cb3vPpjEsMOjxrA
SepcQAxW7gbAw5sIcmDAfO+hUOdIjuJrl+KZq20YhBw1UcOZM6vTx1HnUK5OJIujSdOdae9zWJXq
1GrU+RWrk4zo1WGNq3xmBZ4b50R4Ia9L7++RfinFksHwsyCkeqpdPwDY4O/rUh0HEaaMDkOABV0V
hmFxObCuz3xErjaSh74a1n5lEzQb10d9sDaZG4GdjcZj1moEX3mPfJqnCqLESu8rDA+swFZlFn+1
Rwu5oD9Dr6yesPg9KYQ3KMYI60GU3PUWKjn0X87KLAVXfcSVspBgpDnFO8O9HEeYc3RaMkwxOMJk
t9N022t2tI1DuofSXvDM54T3OfVdpYVXVi5fPcKbTaK7+JuYb6HsrglvGC9B/iufH5dgM3lXYMjZ
8oTLlV3xT9rXc9DIiZ2z+WqY7dMyZd+0sGaxHMfHLJ/P9NEMnGuQpEKBaLXJONgUYixV5i6YIv/M
mJ8pR6GEX+hS5wLBqmviJhfxlzpabizLIi0DWqU2L6CtyoxmmhXm2vGazDuTXpuar0oXJQ9ujw7E
xcCqfVpZWyIDArL40L669ruGEjUZPGslNImoDi9sqFyx+pgfR+WTdZVj1sA6ayoPba4SA0JdxEFk
e8lO2lCTG0GPqi0ktNo2bFWvLVEZZt8aA8MB80a5SQg42FSpv9V1RGpOtvAhJ1140GTXEIyKnHPi
BV/rPKlmVN/mZTnzZFsH3JFEf5O9eF/GYYeB3NqLCtNoa6cTC0OnIN104gJjAGvK8F1KY59Q4R0y
275v+xBtRdmv3cxcu65/hXkxJ/XWRvc5YbJ3c+cAv9U6u72k4/Pafs2dRoIgo4kxq0AV9PYlLIYa
CrH013jrjm0+JEchseVauThgZuRfqfdxhDx3IjxrU7SdFjz81pTs+qYF9egX7a6TbArZBgZek7/G
ub31qppXndekVs4WMMZf6bGO8E/qQ6ZBvEA1J84xKu8gVN4YxjbRkYBurlQvvBobiAmp7yANZrSS
U5+uTEbviObnGykw2cumxoMjFw85L74cvemhOkAo28koxLWj/Dt1U15EytEjlbeHbJWFUD2h7Szl
/Kma+sbR2JIumII0PXqutcK8NlLqGk4/klUSy18zCDlqTMIi5S5ysBk1mIY/OoxHfsxrfONiRlo+
bUnlp0Xpn/vzXyNcmqi/vj/P7UsZvf9+g6o57fcbFAQSxAaD7+aqDkzt+b6PcIX3B0M922Ba6+EH
cbCRfL9BzT/QfTooDoDZc4ni4P9xg5p/oMlTujy+rXKf/C2vCMu3f7tBXVaJfH9fSfMQE3x6SX4y
7jWOkAif9JBFjCDjY8kzPNSDH15oc6NflG5HoIimy+GrlcbHJJRfvIjmoHbTb+Zoi0CbWIXvoSMR
C9GYeooPoKnR6ia4RPAAVI9RS5z5Gih/RwA34xII14ljKMtE+2LlYfLeD3pIsV3ayqOKdaJEAFIy
79rGMJYaLuTO4IVurXHbtLxmR3g6lIkYSjoVQUO8ao0AJrUx6s5t+6F50cyMBlOWnYTjKjYYCnkC
LI2i1mgmBx5EcGKcZIQYp4W4O4hzvVQXna2flmW6EeZyGY++YrhdWlV+EFF8mMmQJT+IEJ1FaPYa
0TQZzp0VX9aWs9Nr7TplhnNbh95FX8cMJyPGyqRAi8uyq9q1gTh4Ix1SH9taSwO3Gc5z3521bPZW
U6SCXSymwVU1bRAHOfQ+Tq8BMTJl+5GZ/R3q/TvdwcqyHnHcXWtNtpxMC31ZU2/JqoifKyTlLvmp
IamEsGkJWzUrXO5dlK6N2o02RsXB4w9Mf83iTnPsaUsYe8/+DqF02xY7UDSUBiQQsOSaV+HiOoEh
yvg8RhPj0TodsL53237WyIIhldB3IBDrkkhMf8BMaIh1kmgnEhi3o4PkTw619dChyWckhQCQOdVW
z9khMbhfz8OCyrB26y92OHCDCc1PuHaMqFt3EsX/T6/i9b/0xP9FfXJdJWXf/c9/U7X+xPbyLCpC
dKgEMRDFZuie82+77VSPJz3zsfgbesx8Ip+Ml1jyOU0yK/8/6/YfAJz+f0qJ/5fY+vI/nH/qq36c
f2yjVDChIqXCgtN/7iBQRzBD4j/aC//TRvf9/KODUOcSsOIfwomfOgg1G3OxQ5MSyQH6dzoI8ckA
/EWMzsqcvsGEAsfPKbDe/dJBRC26y9T08rMmmi9R0k90zfmrkPYhF9ziKTr5rh0YrzOIhyy94Iby
ZXM1eRwx4VQ0hyIhWxUKG7J7wGLIkLc6pLFJIcc84ENE9chLvQ8DRyMSLRH9I0v8ep1DK4sVtmzU
2n2edS+FM0erQVhvIQ6oNVc86bP2fDFDP8sGVEpepssAwdXGkShvhYKl6QN2fpId5sDwWIa7CqrG
5MDB1wRorYS4Zkgo40R2XAwKxiaj/tlUi+uulG+V7hyBZkLVmiGARCMwtwJ9nU1U8KqE80Yg0tOo
wG+pQsDFsTah3QILlypA3KJQcYWCxrkh9o5+KxVMrkE8uzLgyy1xdOpxuNTI62L+TqtKoegI47md
kizg/C02GbS6UBj3ocz77ZjTRNDijbjOmJhho4X/Be+uMAmoDb36yVMoPAcF2hAxpWmS6A5Qf/1V
b6ZHuVgMLrzuXJswk3JBaEMKEhN63yEpsx3WZ3YzbLRW1kRROZhIaOPQO8WR8Wg2DCmHZDqzUXM2
WTYQlWYv0WZhjQ6PzFfkl+HW1OI3Ow+r3YQZRAxZdlE5L/38UvsS2aDz0kmz2g2tvsvZdoGAQzD8
yFVa3uU6Lsz3JFrepjm+XUx0v+5QV4iMkcN5L60gRYvnG7FWqe/n3qjORhv6Zwve+VEynLH8YVNO
rrPvW3A5xGclWId8eWWmi5uskoqAv9x2n6aSQPakiE/mXL03i5IEVpGPmdDxcLn/U+d91nmAJP+P
Ou/ypevey9/rPPVVP51zZGLoLOlNgh9+tUzgplD/m/nEp5/iz0mJ9Zn6aZIQq1MI6rAa/qzzsEzo
rPXZ8POLal3/98653yYlRNCyN8A1ATbWsnxK1J8nJePgz4R4O9NZTmbnbmK0++lqcHGEkRjAVtdQ
jsWMgGBJqkf2KAZBtrbQvaQ/1AvX9Dw6S3bZSX9aNimlwrLJprqsmHKU5CqRoTUhls+Zky4bCBAw
aKK5Ze4oIv/D11WOnuy6rt0yCbVC8JTLwlCiJtCFHbIWauTWOiT9kL+XTVrCFFpY84ptNBl9hCaR
14epukA46jGy71nQonZX2X7tGFn2Qy7wSm5dODCJITiYkAAjL8P9sZ9NMgQ/JtObMXt4zASiCOnZ
hosFFGE2wzoIvfw1CUsn8KNJgCqo5bjR8tZBPYXDAi0CI/YC8dZot/braHfEty+FuUNDpsUru4ms
nS3jD2fSIAiU3gdDCmSpBQecW/NrFHzIZ8ahVZv46SKO6u7CU9SbKCEvKe8bBLGtVr7qLrJwQ/RZ
GxQQCQjCAUU32KwmqM71PT0x64pwKl+ElyNHX6roWLdafm2pqpZQD39HYOZ75i72zszNiLHLaO26
qie5oSsduFpuurHsIb/O9KFbN751KOqRExzWJdFMFeJSz3yPO63aI73jscAVwW1gNVAvIhbZjvYK
USHaO0s+UMpXhCpSartTGO5qsk5XbpGOzEdaauqcPnpXVUV39G0dvoYWpyd+ZjTklVMxCgZ7MaR6
wFAFJo87yRvfD/F5+VWx6YbYZnpUZPCiLGrjARtuubT8mJ75nJcZ29EmjdiiUzPjW1C6OKUfr0GU
D5WZ7kTuNDeRbIh4jKb+xk3Qui1SNAT7SZkdusrIt4vuzxu6jGnVWTN9inAHld/XbMK5zPYCe+u6
QfG+/+fY/Dw2LY6yv26P717K/uW/1u2w/H50qq/8fnQSmAzKDsad5/gI79Qh+L1FVmg8EODQa37U
gd9LRJdUZDRHMMpJTaYY5ED7XiI6kBbQ3XougBtL6BzTf2fIrObfP3USfCdmzKZn03QzylY/yq9H
px9qFT2dV5/LGXG4kE4bwCAxghw2b4JhamOkCAM6g51Unrl0iXZ/aGyBChVSaFUU03FSJpkC4EjQ
68M+ImqFWavNZq8ySWEd0u1AWGTqpq9T2KIEosJheMg+Ke/HEuoHxmGtlv513BQPdst8s5lMIsiy
5VJmaBEjSHB68hSm5n1BKMHZFaG2rmYxUdzQABKIlRyLPH4KGQGC0vJvPMCdGMKMd6G1wxbAwXRf
Nv4eo91FWs9yq88lESwznDxWvBWmcgItQSVgSbOana13CILs+bJw2zskJUxbZXXqbHfBqmLuMt2P
EU503yRLRDZG0bhxUVaszSTcoWq6o4LBzGTRSFrAA9o2OWBM+CpE7JJGOl2NUUM1u6ikJ4iWw1zs
8b6KYM6GOMhbtVddbsOIuCNbE3w0QzJe5Akk2MKGUFAnR99Dw0DU7Wbptbc0zQkfaxqX0yfZTcuU
8Ha7BGmNGbPVmItmoG8dcu/ajNDKmqS54n9FEdObtylKmKp7I1fkw+XbDZKPLGGSt45F9xJj02ZB
ShlmuT3ROSg3TMUbgwG0qvKR3W1ukTshu71X+beSfMzrphBkWqfzRm9EvUkAvQQsV4zdYhj31uKy
MB39wNPsh5rZ5rEZ032GRAVrYXild8ilvDDbhkl+wal+PYVV0OdUnBMGqJneXtjJk2911q6cGZaE
XRGTJNVsl8Ql0kg+G1WxtcrxKyVwfSjM8XZkNoyZZ3rnT543s5m/j24jzmy2EbMJeZ3OqNrCLD75
gxZeQlh7FW3IeqMVxiHBiPA1Jup6A0nZtzey5PjUF3D3NkaPdKyv4JCSZhZV3c3MoQsmlcYDMF3d
YOhxvDev9qbjSD/ihS6hwPO+N8OttIn3M8P2i2/hHbdkubeymj+CC7cmyqud4MsONh+xF4U7rYiX
B7OuBFQ6OWEBce+8xrnohXzP4wYrdmbfEmkXXTjLSBArsqR4CgSu7U3moHJG6vWWLrX//9g7k+3G
jbTbvsudwyvQA1P2FElRVK+cYElKCT0Cfff0d0farspMu7KW/3EN3UgUSQARcb5z9tm30v06uqwk
pjc3Kxvk6UrqzaWtYP4G9YmojbeiBaG8ki7UaVAkmGytNW5YZQ3yuoU+TvwEBW2LYginTaIHdHwH
N1k9dSsrb8W5jzq5dDqAiGRaDpVRiPUsnGoXctTQCLjAN74aEoOETmC8JCVHL6JmLcFSTZxI6Ngf
QgTpvRRWuct6j0i+nkV0Ov5vdfp9U8+S8J9Xp9Pr14/6b/y3Oj/158oEpJ7WUB77WGV9RUH9bmUS
6Bo2hHqMqQbJCv7Tv1cml+kFOWg4QIhQ32/qyW84EFnRHBy0VqXr/oOVyXJYGX9amRjC4OyDHYTT
F1n4x5WJSebUGK0e0teXb9wJnnnbKG/5VEPAyJ44SC9K7LirOZ6ulIFlW+ThCS/+Tuj6h6X10NV9
ahHMoaGnOzuMEv/q7CengjaTlU7xchHHHMqlR613nj0KHykgiH16zOPyXe9wA7Red91yKu/1/sXJ
aI6DVWwbLXSgMPri+NlK64fwsTY6scPleAjzIVi6AXYR/my56br4WtJJRbGy8UKpcrGqYjb+jWmx
neRUjmsl+OyH5sPMGBLNTGPXHiHQZV7HdzKNLmNYvBIHedRoxEOZDPsl3V6cTJgM2Y5mk2qN+AQo
i8MPL988O3mP3JqQgCAVNfAWybyl66bUb7QMJDm9a7KcDwmK6japbbFqYoN0AT01hcnDP85aYPTt
iL/Y8raOVYKXaYb3oEka5JwuXqSRxw4zsqdVJpJ7rIs3cTfTny5aqHQmXOYh9++aPFjluX5pIFiD
VLfylebPhyjzr6J2hNIfCSDVUUNFab8P9VJ1UUKicTwIabKzQcnHDazwSMwPTSqBnUibMoIWT2xY
tuYVKZ8EX+D4ldPPdBX2ETHagshFkyfe1hw8bU2I8uhUzMos4pFTFwSXSVMxnoqg9BRSF+dnOaWC
Wuwsi66ILtLRaNlECondjUyqL5Mo520TmuqwF4HDDulyKktr4xZ1tbcCDl1OERCVrOa16xYuVQH5
O37EfKmrB22m4WHNCtUDngdf4I/vnbAuT3FaTit+6cTaH2+SmGGj4NEdB3q7Vj1YV4ZR3dI3DfjH
6MdVMpKR8DrXZmlEJqphpy15pIJvEeaibDqmrpqFDpQWijglXerUDFD0k3cC/soqOzofddnLNSOP
62IAgsVkmFSSlYyrsI+zTRlOFJhqzh0BxC+9m6pMe6M4gW62a7EzLZtwuNOmoNkH0fROn1tBTDxQ
56yCFH/Xcxn7LuQX5qLMJa2dltsvfmK8kffbuhq+W2PE0EIPBJ+zV6FMFVTqVm+TT9UqiVUKI4vG
dy5QC1t8sLMJJnHBxRuvR0UdN4ePDAj5CEpoQ1OoZDrN8HRizDkpZrk75C8kuXHYecA+AkU2r+zp
cQxhnTuKej7G9KArDrqU0HFg2pD1gpE+AEvH1szgUvHTicE6B2UNx9yOYW6yi/sZ3HrtlMdO8dc7
WXzGANkNM9oXhneAxniZAbbPhCQNAO6RFp2EIrrLiTOblXUcOWvrVkinxy4HAR6GzsFTTHgXOLz8
RolP+cP9cAe358D599OBFwk4TD2arLUkhHsltenVQAVkj4KxvhoRa+Opd67iuYUoH45BRyN42z5R
RNDLzRiVeNkirZZ35tA1j3Ich5cxMMqUwHfT1zuQNvaXMJX2VduUWXiThVlIdXmlWV8CgHrBKaEo
cJtjs10xEHvSI1RCezS4NALV7a5SYJZM+/WgkmED193aVmkxrsKXzup2c8oZH5byLlLJMldlzOiW
x6hM7MwD/zIWiLZzPs+kyvObzAnTh06l1fIy5vGUkvnpiLIhUF9qB3g1kza8WQ07gYmwt8v21PTb
r/nUP1YqGcddvPWIyuEKAVBEeM634kOXTvayLMUrVClKA4rhnBC40wedPBBwil1FqQbXmorlCWM5
kcki7ENmr0AMSfeFNHoeXMWrK3tGgwa1h65DfjxN3gxv4Gkw0tBgbIqKqd7s2TRqWtyHGfqFq6X3
YjwWvVzl6c6DiFjM27ijvL73ziG71U0/JZ+OGV3NebsPCvbPbhavdaDIC90r+nXWY3QEQneXz+aI
BZunX43eTE1F6S0myGmLhLR1K0cybVa+NXuhL/OBY73hVLdxYiMu1e5RpYZlg25aDQp2AAm6ioxr
K6JCwg61jV3XzZJC5Uf4FaB1qmvNwYCOMP6Ep/09GZxoSz3uYQChgwWxpXBzfrIrD8khPk82eQOj
da7KAMtIl5QYT1UNqPdFmJgwTDRYwr7sUDtsGoUZm0t76hfFRL+k7d5RrEE3imF9OD1z/WHmYWt6
7SEBl7QA5U2JyDRuaqe+sloahLuYGsi4dvc+JTYLKLF0TQMe0+I7+nJfq442T0SPtJ2OvdQeU5Ov
WnhoN51sedwQVdHDj8T3d/Yg91Ljvwal99n2ydey0Q+58T+uzv+De28qiu4v95OSivq/Ch3qh77b
TvoEbX1m9/hc/R/cdDrwHEiNLkN4hw0dY/o/tpNoxGgcAB1/lzkULekPneObegyIkmoAOtIZrf2j
URiDs582k5YKAju+rmPrQ61GofleIa5kxdUWJdFNhTPX21XflFjbPetIfMQXw28ybfq7ZtuVKGns
j5SYy8m4BTD3TeQdvgm+g9fskDXN4BWnUAJvEKyrduBNN8GVTlW4vg5nTQtvQFkxuGCNjDjgwlkd
8ePN9pzBSiHUroTFwjXZW06ciiC5YG2fEBs6lIakhg28c3msI5IktqLZubW9q5jaJMsib8j0VkNW
n0NWHuRBc4JzEnqsPovUc9hbtJ32Ycd++/vM+X9zYIU4/dVRqo7/bjzCD/156X/ruHC5xP8Wmcqt
xc4UF4pufINU/3mS8n5jYszlbXnChxjGBf7ntW+6v0EJ82kVM23Hwpj6j659oJU/X/wu4qNPbsJS
fwW/8MeLn0oc9D9NzGczjx4roDbLbJqKRVFW1Uqf8w36Ag3Icm9P1D2N/iN9VkDyO7wque/cJ551
MmW7B0u4rnovaFaum0P2jzGNPWTS1+FaikuoFZRRsgfwV3gZtTf88+wQim+INTfoMZ7a38hrisHW
KBpbrrhsQhHaZOfcDSmzaIzSZ98G4DQqnFuE8lUBeJsAvUmAbyangYVQDDhRs7UGChfF3hW5EJLf
zXtNMRWAkIEqRyrhwcmxIj4afQNfrmVRCUDO9SUiZhcUn5Oi0UVg6QLFpzMUqc42xjMK0GuVsU+2
v9HswNpVim/XioCVFOxdKODfcYih6Yo2NEyiGsC8YZTaklKBg965Z6hUyw603kz4GM+iC98R6p5u
9Ie6L58ihePDKA+JxLyk2G1bO39MY4rYahB+2H3J+cP00wPQBKX8NIS+6uv41u/UYczMj2WY7/V8
ekzBA2qy/xQ1pzGhTe6S1Ax4SNLaC01LW6yo6a5qMNqYkbMkiYVCY1DXbZeRdzaYAjEzIBXZt4yT
IwmY26+TlUwgLOVMftYeVCCMSmQUsEa/RxN2QCrYt22QCIL6Ou3lBou1ueu6+hxkmC9NmhxOUVVX
tA86WGa3ZLo5S9tZvgcYvoRQDfqF0JwpCfhHxEstqrxTM1ngStWYX3PmKcbX0JF4DtmGgZctEJ4G
crQ0GkSm9ipq/D51j8ysY67UaTKBtICvng927Ymm2xhd5ByzwdyVSaF0W8LqRpvTTIC3N8S5mazm
uttF1LwtG4feqax3Vx4H1W2hxe2GYnLnuos99hPWHsfiI8yLneiMx6FHNA2jRqzaxtCvKWRIjowF
WS6w5awjG3IBsF4qxcfEIomvBduJxujrcjSNS2yoo1nab330LWpdrvKUZqaxMl491kg6MKb4DDZ5
WPrAVicv33Rtg45HwfnSHoq3qZEbo4+fZaiRDW7pSIr4PpNsys5wlhf4p/+ZowgjPOwNyiR1CpnR
d9T09/sFsjTHPs00Xz9n+UNqfcVaMeT7756bN//VtKRegsXeoQ6IGbIAsPzjS0xlODb446xz2rx1
6c1U3hf+/3Atv2/PrF+uUXeQqj/qv+7P1E/9a5FiE4ahCMHPpJryW6XSvwZR7MIAbbNC6DqDdGWT
/HOR8hlRYV7ymBH90Un5r0VKRfIsR6iYvs50C/7LP5D7wHf/ZZFSfk8co5ZiypC8//Hq6I3C4HTq
T2fqmpqN0LJi3VgC505qekF1IMk1cizubQ1mdlCUVC51d4L0ku2lHOSAyy3iSNjHsRirRZ/QTNmR
s7XYXLLYmc3G0Fv/2sG/vyNZV14ManQWjNK1A2E3yCSJfPZnPVlqtngvKoawejRf8phHUjBIhL5S
OZ9D9zx7GZ1KshdwCN10GcuBWYOHt6jj9MvmzLikppbtezzfqzyw16KO7J3mcnK2TSQVPe0KDzGv
sJdxmd6yZ/0Y0upOki8vczCANeNoqIvaeBX6UMPm1i/PogPdjb3Ir/gtARRoNhTDyjIgI45FBnfO
P1FEuqhMg6BB2F9EOj/mXfngJ9UhjpovgmBbUub8sfMAQsxLjpZN0q8DpT2X3ldCBCmMjxQXFusU
XifVmjdUS0BuRICdceMTyUsjs1nYnoTXT2ZRq06FUT4nwBAXLm18yzjKKZyzp7c5Nq51qoHWg1fe
xgTol6QCKu+mMT1t2mqdIutGvF4gGJZXtVx5eo2tSG4NFB7hD1tDtIdOAYjr+WP2PKCtbk8Pls3p
HBwN/aATLLKuKZcWBJxl7Q3lziflshgM66nsshM0mnBVWeW6Hw171UwfgYt53SgVviF8Zdfz2bkh
zY6pXazgaDLxFC0tp5lxE9STs3AdhIwyKS9RPb96FU9sHbAXvRnSWdY4+lng5L432sckkZdO5IKZ
BnETjwbJudqw4tUIzkRidOcyDuFTWwC4bPPmENaA7noNH7HncLl6DeOkOA1J9EwUR7pZARY2b/CS
hWC448qnWiohyRFWS0KTh2Dw6tUEnW3V2vErylkI+Uu+uqPJ6jqicjRaMO+CFuA3MKAUGdRiLUeW
Bncyl6vRCi3Gl+GdG7hcUwz0dkaeEy4kvNGpGEegAh2xinZQpUIX6XBxyHxwPAlY2oiBkDU85o6x
c1RApCcpMhZNQw0GNCM30vdCxUkcFSyxVcQkIWsiR21fy7Ze0I7yzkbvKSGVUpJOSdRyr4fkYmwd
amiYo1V71/1gi3Wiwi2BirkA6rkxyb1Q9wizuIx2JomYIfGvR6O4i1VUJiczk0FsIAdCjAb5MEHX
pDmiDZyXRlYXQ6VuwGh/JCqHMxnBdu6gmhkqo9OotI5PbEeq/I5Jp9taK9OngmiPXqOmO4R9apF8
oXcJtobKAZUqERRL89QREUqICulEhjw/F4yf7bVDmChQqaJOGSJVzighcNQSPHITeZQ1+NXBJSqB
A/q5nY0WJZW8Uq+SS823DBND90XV+NbZSKWnrSoV9/y28v7v6GawSvzi6CYLlsWP6a8Lo/q5fy2M
4jeOTFSoUwnPWU0Fwr9fGDH2ugBgnD8cbH8ujM5vPgsmszC6ib+TLUz7N06Bvgu9zOXQp5bZf7Aq
0nb486qI4kUAkHEa2yYCDiQsvt+W5WVmyUn3nOvcnPtNCQJ1JYX74sJekm73hEj3kM6XAEQpMtna
qLxL14YPQTbzTDddwL3EtatiOjnHJNTezSF9yDV6VXSzBkJfF29MZClFG8J9mScwNwsOOJ3c2EzE
lxEA3yWHkC9a0ZdvelvECxJpw5q7MmASlCD4At8MwvqqGCIQ8Gb0lNvwPib/ZdZaJihevRzi6nVK
0osfma+1oz+PPdhRpx1PKHRyOUERXZVVcug6Dpx2LvunSXhfgJTGh4KmvrU+UKUnyuQh7bIvYnLn
PY00+wAv18bx5t1cGV/6Jr8GKLycHBf47pas17ryJWirZHjoovjFi7XdIORTU2vhlWuUK7+xlnnR
X+uJ2LCnBfYSX1vdTCUsyXV0ma+ybM90WzMccIZrPx5wscTG3pKbhGQBiWdYO3dhdardTdmmL5UR
VQv+xC1AGUVkUzgaWtBaym0o+zG8h8AKFnCEG9BrPkSegcU40I5OLgcaCrBGBHG3HiQRCx6ySOHz
xmKuRx4iI+uYfa01pvut0UDYwoVbO3OER7i7mTx/RweKAxO3L7ZRYX60cWxdZQWvx76hsUNaEt36
TcwTq4NwjpE3r2STvI4OuFumS8ehJYZZ+td5aa2cBMMas4zjEKruKHfl2pjaWmt0GPYxniHaUi1C
oAhLZ+j1RZZaCFNuA4M2puYjdjGOTDFNA22OMt+6r3ap7RmytZuuMVjqAcEZxnTB7dssXVjBTmXS
NEhXikWypNBp9I745rTSfLARuas8I66PbepYQfHPPHkqk/ELAsJj1DRvZeVxShqmYDWDrgaa2wEo
q9G806Td91MrVwB/nrqY3d2MZVXtTC4BczQcKOMOp6bc1ABfsc6RvE/l3jRiYuMu4FdOi7Iszxad
RKkjtkAAxDKP8kXZe5AGMvOOnpUvGRVerT6c5MzwYG6LKyZQR0EJqJHTlpGJcu/13lvShHs/Cpmi
siNzvOZ+aOK7stMeYunsRSGvutr6kI6zT+kf1ETxpWiyByclVJvNw9Ey6wM59lPXc5Iv0/FC+mg7
BvHR6hwmDcOu9OVer6nFBdFfhdEVMRuspdCByox6k0bciMjKNsRRaERunweXws3Gmil9bs/skLDv
zO5V7Ru3dlwe0hiAcDrBd85ookh6g76F+sTW9lyU/XsTT4C4Q+Oukc0Thb0HkkunLrJo+phuC5ER
V+emT7No4wzxU5i6WzuUu9yJvT0zNbpLcLvEbnsyC1/Vp5iA88I9LUGXXOsD2gkoJOvqfe+LZzHC
8wFbTMmG0d0OkX2krQJ2hcuepJjzZ/TRndvRJEzs2WC3suzAg5qZ82X2/O2ggc/zKZGO+5eCcz5x
p88ZXjJTbdqtmuA5Fhw7Fu6sFfmtETMXzLwhM0hGUmIyjaZ5xeB2XkMdOPhhRw9Xuh/bjn4TmMJR
FJ2tPjsEIfCvRIanAQg1+ILirY/BbIPvvdaEv62kf10DcwWcO5JeEjomKP0x1rvjqFtPZqqh6iR3
s/oKMeO9lbRHSgz1nP/ZS2hPo+jPpq5fi5R5kOMyvJ2GV0NDEovLkA7RiiRDy3dR6/am6MJ4W3nE
OE3zNPl5u2jjepfKZEs10kDlhP5Ipv2qojIiihj8Ntqlj+F1GNa9G3brOJ7fksy9w8cXHgu7Ktm+
BbdlXpw0pc8FNApZs/1FL52tawQLyxzsXdI61nqoR2OXjhb3cviR0l+NgC0FB4bpqOtMynS9tDci
NreUlNErmUXl0iDmunBCsWvy7rkZ4ruqwNXXhfdB3ewKjfzFqKLf5Fd5z/f0rz61VdTvR+smTdNV
InpAUA4u2Hzc2paE6hDexwIzEyiunZbNkJq9fd04lznTd3Xo89HoZ62qi0XUT5e+M+5SCIFrAfFx
5dWK8qhTKmo6pyZjvV/DHDTwvg1V/GjnccvDH4ugUQAuzjnkbaKK5G4FITz2eu7O+VjFLptD5VCE
iLirR/Z3YeHfeMrBmCsvIy0h1cJQ/kYARCNslPwNCvTacooEIMhsLyKIAqvSUMxCoh4U2gbY9Faj
8k/K3u+v2DnDGtOmz6IGJsJdvEinAhaIcmACS2QjDmCLdjmDzj98mm4EJ0mPGqxbeeJwGsrD46C3
WDkZIT8nAIpxcc+1pppm7EszUCebeXMJ0Zx6AUyYDCTX5TDT6KZrx8Gsr4jm3xgeRUFjsnYNTpFV
cBtW9aGrDFQ0s2D/TJ0nUK7nYGC/64bDutYbaovTcdtZAd7mtn3rYcjpqfdiBeapHyYWmXiVd/2m
DWAwmc19Kcj6eG70ypP1UZj1Lhiis7DpAUrMAwNjzJMR1u4YYl6jmc/lbB9IgJywB5r0d+c4WdKN
VuZXfccSzcDEWzk1NH9hr7JU3pI8h9GSz/sydI72GO84SAKewhnoDwtbinQVu4i0TmJe/CG/a9G4
ezlNq7wo7gssh8tcSw/EsPdCaCcSWku2QltjrPZtQA1RGu1DtzrgRnkC3HDIgFjVJiut6W1Sr3wP
EuIDaXgZA3YKk13ShBita0qA7ar9oCrsSCnOsuGiG8fu0PnZO3Yq4pp+sZcivqVDYU3T3dK3kmlh
5ozWR3HXpJpqJ0D0mEaqDHC8zujEQR+ufKXHdkglbaLv8s547j1rmSX6uLFB75vgV9laVAuOSxVP
9/QZJAN0VZumVfCxfso0Cl/uXiuTR1zqW0yCN6I3Iiat+v00wHZNyiepO2Jl5nALtD7+GtSyp85x
6GCVAiO0xXUQmtQQ05oVJ+XaClyQD/Ge2KO/CcPg0KczFZH2dVvqvGNcwkfH4GIJ5WBjNXI5ENGx
vA4mxztLXZI5J7OfMcCKWnHJLO2Ytci1WmhumkbjYGhH+qJuBJ7ZyXmxh2SC6EcTABrycRy9jrCu
fBrt+VJqzothJMGmjAHQ9WxfhNNt0qanYKrhXYNA3MEFR4pVfb0S6E5Yc6KEbHsqoaSmoTafNaM+
lLpy6zocuqs6p8d+JFswgXu3+CecySuMzHdhPMLTn/P94NJkPbXdca7Vqm1bz6POjZbASF3VI5gG
+nSu9TS+Tod0aSVWtHejuTlS26y0XPOJGFt4NdTBxW+yFxGX1k7d7g7gqQUs8GyT1r354kXtHQXU
F30Y46NvFogn5T4sxb2B8WKWtljEQ7cNhYR7nx6rECiRiw85tPPPzqPWwDKNNTya+7SlhgY7S9o7
7DOpL8Nm90yW4NYfqUAuSvc60UPKo5MNbO8J9SV5rDL/xRrNW4/n8ME2MZt26PUbo7Ve5tzfkwfW
lgwQim0BGO+gVfqGUgioPbQt7TAsG4umKFkdKQYQ5t2oJwbHiLrWYAVkk2Uky9R0tLWhk0VOlt+d
+P676Izi7CvjvYtTHh89E4sfD1BGLMRoGEV8TkrGE8WpmUfc2Xe/fhEljv87Z6l8+upFHB0TI90q
HCV/fJE0GGtTa5r4LKa9VpwE8RnNum+H+1+/DCfRv76My3zdUtwZLJE/vkwgsJ/XNGGcM+NzkA+a
efWPfz8jeqR5FHo+rp8/q8afHAlQNDsXAxfazgte//nv98jL6j4fFLS2n1LLwGKC2bSr/Oxx7rBv
7D/U//9YvoSZ9Zefz0/ftUVRWwSLKyZmiI16meqb2l0hhY0fWbL69Vv5m5eiOgjWqmfZBLH9n74K
mKdiHug+OItkx8wKJarE6GktWYZxvv36tdSf/dPV9cPX8pMyDlQs710aGEmBLnGn0UnDrcUzdeo3
v36hv3tT33//P72pwk182Xm/v5CJd4oS12jDOqKW4vK/XGvqj/75TeHGwDDE6ojJmEnF98KGaReG
ZOGFKGZuguy1H9d28P7rt/M3t4v73Uv8fLnNjc1eCVr2ufBek+DF0v4Pl7Map+NfYUYCB//HtwDu
zG4tDShawhPQxA06/R8eXgwxBdXXNFaRr/hpYlZoBft7R5fn2X0d3OsOy6Fo/8uz6+++dC5iHDgU
tyoU1o/vAvcqoQxvzs81G79piWVTty892KByxUj919/I37wWcSOGFbpLfgn96cfXIptMTBSG8DlS
Z+p1LGl4WbvVQrLHuv32Uv+TPG2+oP8sed5jVuEE+1fFU/3YvxRP6GZM7rh0mcT6qPbfKZ7mb873
I8I/5E7cWMyFfZd2X7wECrP5b7OK/xv/XuD7x/QFtPufUc9coa63fz8YCKRZdPV4KLHoq+A+bXVX
f8ds4Yw+OlXV5DeFXlrWqTE6TmRTFzPrg7o0GP5iHPveQ4Aq36s+/zKr6hI6FO6YvzPAcN8mZId1
SctJzXauUrUnrTJpdpZ7LVpgA1pCOQqt6tSkSApT6FKMNkbpdIuoDK81VavS91G7TAJ5bqb2q6aq
V2x/+GqpMpaIDutO1bMQGziMqrCFC/qk4cWshbRXUpW6RC0+4FYVvbhT/VWTEH7rrlaCwWbOUwjS
tMNotMREQ6svqBbeuW57XcxpRUktfTJ2NbxgZn/I2ilbJql+Z9rtc+gRp8LS4m3ZgTjnMKahhpu5
XXSqtUanvsZVPTY88pguQR9E+jhLi+BANBt3QucegzhzGQ1xlQv7w2qxldbDa4ONlpRRuqw5YIye
caj9lv/b3+Wifu5oHpejEp3S8Fk2zrOfvJkDm0vLfG98/702mnM9x0+2HN9TywOOZYp5hdXoBiYW
QGh72OURduyk1dieapDOpzS+a2Lzuiu169msArVl5EFgEMjFeprvEx3Hm61zbB2EdaPZA7EiKiUW
toaVhrj0IYmccJtonbOpwgzLSSeATY0PTqNdGUNVI3m2V56EGCYo3Son0FHMNdEIysLYTu2w9VCd
V7Wq3iyBt2xTN6qRGZjKOX3AAtQZzH3pmFm6kL3qcHgMPBdVqbtxRHcWOIyXUCGrbW0VlCYYYBRS
qu0poYcKP+ADH2b0AVHvwVnWy9rADsIsPlgOsj8QcLmO+Cr4P+u3BHCo09s3Qyj2YUKdqmMkWyuR
D3lr7Xx9LKC9Ow9tUpHODh/JxH3AH9Ho6qVIwu4ca9FXfrSBhfpcJChDocH8yS2ftK5jKNcMD5oP
F5UfJSdItnFt9undpBkTapODGUmXnzmFYoyuyxNNlefUQntvp9FYeHLA/94P69Eb5Rmrfci9UntE
AGNkXIWSb7sOya8eX9uATIFoyoCYJ9UNZpo8dekKm/MDOcOMKzB219xrK8vqQSy3brulW6FgPliX
u1E3ArYUSEflcLKQgVZ5EpsrTJMXwoQRmbtqJgpBWVnBFB9OtwMwiEnnGM4EJ+VrCrtJXWt3FsLd
RNEQiBIthMXqNmtzGlGTI3ftWfIR48Kn0AU1pa71Wc/ixW/8oxiy63Ka7gxHdxeIYxHMkWhcTHl1
G3XNa2ahfMfT3pPzlcURfVnrI7N+jiwMbS0GztOn0dRfQq07DLK9ZKWmRhkQ7Qp4jOl4Mv0eZqHA
Jk4TBeUxHUzPzo/6Zd22n4BPSJaMg0rXuq8xJA8KEJhhSo2AvMS3gBwGnrSDiAEp1uM0bz3z1KX9
ZKpRWTLnvYWEvIDzEq94IB84F4/bsOm6TTT3V21gIpjV4a0Tja8U8sIVtlJr01YNqMIQJ1NjVTsn
d1YVLeHLNhrvWruC989hLhuZMkC3NdZFYdfcdJJbwnNOGY0razkGtC2h/lhdMNJwEN5RBnKWpX/n
B9bOHImTOAVsxG7KboOShGSoV5uw9bLnGuGbiUd/1IRrQOpVN7adPGERapmyDumGx6oFujZ6Gwvc
q52FdX4ornig306W7HeVyOG5GN2lpAxsEeNJ6klSb4GF4JttTEL2jryn5+AqChxrCbzy2ET9Jbat
gmoYCPTITfB6a31dhBk/2/d3tpN4OxiMbw2Tg4UP0WGB7yRCD6q0Jb7dTyQf1ouojreeT0Jskm+O
yb1dZXThWLlHBdUYwvqCjHstQA0salk9614eLFtvglA+0WOAqEvkyMO9J3lm22UhCP0IbGatfOv8
+EmWXEhDUGwmWBILna+c6S/GgcE0YcaPItzAE+IzRbXdmyZ4TE7NcA2p2sIBSd+O1T9EU3oZWBMp
PvEkH0yTwBuwwyV8WS43T5UZJfw7ZEx8Jdo8rKjfOU2aKRVbAI6eGIaFljoPdjttwTt/taV9k4Tl
x6jz6xorecaTHCMUoT05XXFkQllR4DKfWP8hV7iFitjtW4AYhFmNbp1iPn7GOZntm5leC4MbPyvM
J22yzm3cfh2qbINa9cBiLw6xg3+Z9X/fxOHZjat7f053HJ4BLOLPW2QM0YGG0U9EhtYtpgZllAZv
4qKk6lz3PcZuucohNywr4mybSXq3epBXaxu5lEkB2e6ypJsG6E6wF/X06mhcDG3UGxscg/djAYrC
C7SrOAxf68RdhTSRL8ak3MqK0uHCLW/IvOgL6Ytwren2O6MnC2de/GIJiBlJ5dzgxnmUoNGCUvVA
hOZnIrBfmz2txIZRR1SZFoxD3Ew1XmNeEkxv10WCN0KPJ0oFZv3Fafpr30rj9VzyxdYaT+1owrWS
uMR9HS15FeCDUjrylm0cJMuqLw9xD+qeEqstQKBu2ZnKbCDSXRIS2Is9nJSipTmwMlTCI6mzteN7
X6NQI6HlhfWm102xlHnfMzqeKH2c1VPVeaKnXIeYGtjLvNLuo3p4oAWTtG/sL+WQHbtGB53R4fgI
cVSsDCu6ax0XmETW7rsQ0kYu/Aer6G7CjJYes2mVa1WD++1wP5l9uxlDCE5GWuw1dk7ckImgYpsJ
Hnmg0WA959NiCUl2FQ2VS1rOPwaM8lrpfDpCu9cQJCkjUtFxPwX4RugbKsF7P9UHn5UcJdR+b3qX
QUhXr4pQvyJnQ0fF3FvL0UmfwjxHrhtrY+l1zjLR8k0YvCHGHdkY0BNiQbXUu+SqtGudgXcCRy2W
dF/X/DcvfQk1mw71IbnXaaEjoq3duhihYWfKveUPTyN7LnpDAbq0pSzWVYuNf7K7kF6tircDBp4I
Wk2sS1q0OVC36gFnSl14WNx3n2hV0LboN1qHqbmBsP5c9ty6Ua1fspBBNtfCyXRielTtpF50aXnn
xHxHNucptpcjz+m6OI1WXZChIUDnte900jdL5LanasT1knfigZTB1Thl94ZFy8rQ8Eh1xVvfY6j2
INosmNEOK5l1xxJoTSFg9YmpaXkcCvDZTvLhszfGe0s6fSw+5ry+mn2IdpBq9ihpz3FCMtZNHsqe
uW/DLs9NefRFFVdm5A//n73z2m0j29LwqzTmvozK4WIGGEZRWbKs4JsCFVw553r6+baCW4H2OR4K
GA7QPBenuyUVi5u1117hDwikxAE32VhLuS9/mD4pnZX1N1pCzteGKOrF4XVjpSvXdWd+lK5dO7oN
6wZYa7HPGEaZeUlPgxtvkFgDulNYmGYp894QkmRF9rWvEPTTKbgNkDJyeFqPGsNnRBAHzZ/7LkVl
2R6WfbZqAoTIDHra+1WoDNPCs9ToLE5H83rIAtM+LiT80s8o4fN2NtgmBPxceupx/FODarSofl2D
Io3y134GN2sTb0L86c86VAZEQ2fWRBjlnXzoo2yKCQwUWI5FrUp76AV5A28CxpJqaeRuqvFGVgo5
UpDLTxdDRu+PsDdP3Yg3lShnNJ1KkD+6Rq6ov2tXopaS9L0+lCeDhPxjPlGRqmMcDYJyZTb4cAa6
eYQXjn9sGuXSHU3jrMA7ZTJ68rnm6udR2Txkck5W1/uM1tsD31IWMAsOI2DwUsswLlUO7VSZjSru
Uq3eYyGlHcpAvCdakxxjsLhwPYuURlpkg3SGgP43a0ivjL5GL6N4sJERKlFCjod0FTXZzId0RFTS
VobtXzI/nkq6fAab8rgBAsKM/bgXhg2O2R8CnVmKwAdZ45tBsJL4RPO47G6doD5ysXeuS+275sXL
tha2zOYCctJBqxfHru8fOxmI0JGszc+PG4YeWgYUplevoMfs+YywnWEgtchOQhTghL0n2lyzohpn
vtzeOEF16vvNkdcNU9S2lzqzJIb44AAxCHR+VKASMDbsiCNNQ8yx12QrEwDjV2HYrqTKIf2rzn1v
XEqEoCRHLCovkd4iSXD74MQzLGRFQIeEJDZVsjcO1Xli17eYiOM1kB77bnHYmsmeMTb7STnsNQXZ
oZf/sML8GGUxhnUOcn/6ueVb2HBJ+R4qfyns3u4oahixKkNxULjRWsv0cyc3pz56saQr1kkj1Yee
msxGVPnKkQGfJZ2HTr9SZPdSF3Z6wgY3ha5M3o3DrYitrlxMraQ4Cuy4AztRAPKArT4jLq0tSJPL
vOgRvTIY2PX5FehVn9Oov01BRguJKIAT8yetMreyy3AvxNMPuY+yDE/0ccQ3L2TkrC3bEscQR+n4
9nvGycKkIitofUhAc6OszvdTs2ynFWk/Ra+iHTE8a2ftQKUTIwXE3Ik5s6uN4bmqqMtIBeMJZAAb
euy3KErsOR8JnogKxVcR5hpoyiBoKww3GgvrDSI4+FvcOAJ9KGaQ5MEua2a0GIVpR5YXqOR61Te7
rHEFNJsB1CicCXug6YimmTD/cCT1QgJ6nNnaDJeGk1E1FjpuITgtks8CH0Zg9yEY9SM7rK+kjr87
KoXlCL9LEoKuCoI13jwQviRZctmRxM3yllPOhQMxxQYKgEGu36IvhJuisDjJqwJEte4cc4Aw7e7D
e0diXNjqTSIaQsUsUu0HL3e+p4P6DSLFA/fvIx8hY8guLFa0nDraF7YrCJhzdEa0rdpcQX22BPMR
IJeS7OOHe6n3AxhkeT/Ey0XP/GDRS6AycHkJRuaySVwcD25XLBJhBaMKU5gMd5gUrXlYJ1E1V/1W
o5dFztcp6TXsbFa5SOgykbmDohGoAC9dhFG/cqV4GaJqMSUruhkzYGpMVE8C2bol0b7tdXq8ZY9x
OaK4exr9CP4y3vPsklytAByTx2DiNHXpZup1DfYBhQrssysDjZymmjRmcD14GLY5kn4XuEUyMx2s
Z5r6ViIhq1RkkXtXBnroXmkQ1qcDyuojiOSpzvQdrxtVpLNwlsr8wu+0ZCaHwzAHnEY27rrXWiw3
EHldi+dLWxRiBu44HVs0iEhgM7YlqGESPE37kci4nbWuJ5zdMIcnb0auoFgBczG5t3Y/Rz2zTyD9
DzAE7ERbdT6tmLq9TGV5v+5sYFsSSsuBRNHdQOuOfPkrMusHRupfKIMlwyWgA4b0D1ljp83MXjpE
vV6BxBx9K31w90GSWzOakXHz1SefWVD0ev5UylzRp6llWiitv9LxhPHjlhJDtqUlqDycStM8QK0n
gcvfkKNEw1kuqJ2W0sdnAYSA6T/9cNIA+sVMqX6di9w0t+sNzXD+5mcSgh8VaF1k2Cyb8e07G0qT
kbHABiNVLhguP5MQ54upYRlC4xuxGwgw5CcvAm3I+wLXZQosqwrjwT/zoyK1ed8PB2JsKdBAoWUR
mt4Ts+KaENlnvXxSw1FxndRYmlBMDlSpyamjlfwM0GS2h2YX8HhsbxcZkmLTGu5LCWkSAUvaSmjo
G4eloMig6w8asDOXLeyZ2O7zoxIwXd7KCDvad0ob0VlLOsIBp9FodivHtRfgO+VZHnhL/OYw1XDQ
IyHAf+vSck8P/PSi8DwOqjy/Mzv7IIN4Uip46uiJFoD9Ku7iQahxVJThRdft9YhI0GgR5nCMBpdK
qNPo1aA4mJ0zrx+95DrJRT8Kf7kYo7kBwzmkMu/cBFEGnEFQuRxwpbMZjE2KTDqvYzsGcwpAKhEu
drFWGvjHWtbMJW+YguWIaNYMp4iylfMSI7wqMM+QJj62hUNe7kfXgapd1JmTzyRM9HLsd+boAn8r
gXMFeBc0Jv0BLE32XAz4ZOHEF/r+XoQ1XyqHR1h13iRY9oWjc6Fw/oG2Er1+Vb5AQl6djHwJtQ/1
JBbef2ptrAfhBlhZ1bXdcT5VuUgKQDh3unyKO72CFkRwFjg0IKSkQ0dsGGSAzWkO0xO/EjM9xhXk
oB0yb6WF1XljOsjCU+EQRal2mRBPQjPGvDiPZxa9SJBkUlPwhakWnXGk5hGrgI0wD9LKPnHUfFgC
F8aF0AxXIOScI68qH9QCZpMzWt6ZJDqXY2DcOWh2HheD+iPG4RDtDjOTZ34ofD+RmJ+mqUBNR4YH
NSWJFmmc5vuojpxACKIHHdsnHfOPqWk6NFEHOs+RrmF0JCCw6nGe5SnNjLEEwQhORUF2hdmjtAx7
qngaKt/N3L8ECdigwuhMAVqjJKOiFoH6O/qiaQiRthovLeRYsTq8RbAZ3o0G5yuVzhQ7/6EzW2x8
kGlFb0/TyCynMontyoyLVW4m+31tzHVPOxmU6ETXmn7qxNT4chZeyZ37zUikag+jeSaUkvUNu2CD
21YR3VBxTrFpgxdFIg4M+TwZ6n0ZCGMRhedBgANaE990cnmLB1QGEI5saaDhY5dRMyvNjrmqnNJH
Y3ENXdpHi1RfmjKDqgavMBoZ1iESene2Omqzqh6uck1tgC3mi7xiGJvVYzEb+nYVuaM8bVP5uIu7
W1+Qr0xBw0pNAF8ZzCwNfpwDU8uEsRUK6pZNIlXL3cIqRbNc0LvQbM0AqOM5KqhfgyCBpYNxX8MK
6woVTy54YoVLAyUQ1DFKlmUIl8yGU4Y10DcFjpkiVaApgTiPnIIOLLRS0NG44Zk3th1WZdGRLShr
zSif40H5fRBkNk/38TUXBDcpGqQVOs+0b+hStrDgdHQLfFhxtqDH5XiOIZQtSHOuoM+NgkiHreq8
dMnTQkGyS2DbhTIzAhue4rRQqnEiZZDy4BEgGUTzc4qZ9kmYCbqPIPG5MM9gyPVnoYoUlGvId7ag
/P1zzj6eszKD2F+fs7CymY58PGnFX706aTnCBIuFTi20mddjZxXajIFJImqn6DcLoMNLue8I2io/
+nu8/PqkBRVB4e5w0cdD+A+4Nqo4zt9OnjnNH50kHSEhbdji568mz33n0g42mW1EY24Nq9FEMfK2
9bXaPVHRsIEyJ4WSCiwKFp3U+F8HwatDdDGfpYJrhxoSPfO4iOaNU+uzysCvVe6QRbUFT6+BsKcI
5l4DhW8UXL5E86sZ8OWD+JHnB+EvFMQ/wQAkEyR7tKuAagZ+YOBgVBg1ikv5zvndCR6hLxiFvglb
UnAMFSu4aiEdBpAPUaqDRN+zrZAlKuiVtoKnGIXZ2chIE6XiFQw48lbBaVQFu9ERPMcAwqMTlmem
YEA2iWqilaaeQseEUyl4krZgTGIync2CqvihQaaE1lcDl2XQNzx0gm05GMW8FfzLGDR5r+pXeerB
3xMcTb1KwSdruBtFucKUPkMEH+h+OVXa/kAbmTKpED5xHFo0TEsViKAKhNAKYmilVfMSoqgaKliW
ITqPEABsF0edRp0L9FaeECshHcEGMugWNJ6L6LbopyTBhd3E6SyO870k8uZ9Fl7EjoR5YHqWl/KB
T6/aTZgklUZy1vKVNonuQ+gLynRZS3gF2ma+rxjJLYqahCzLPZRbB9WngEFYjKj2Pqim8ozpYO5+
p+fuqfNKy7z0TBrrIV8mCiWlJ0fy9TCCqmLcFd3RzEK3q0TXS23unMpfWKrjAYXlx0HTPRS6Uk1D
3EQnCVyVevCP9dS151KHaG1R+z/QDCwxLBhu6JZd1GN/prTKd01kBtl4E7ShMzWNSptbnn4fqP1+
J3vDd6EYOgnq3JrqDPDstmwnhlzshUZ55jrxnlXa0mFjFRdDwMeihIHm49knbs/cDoH9Hzojt8YH
Gm9EJumZOch7o4UMYqbPhdlDW8c+fRgUQGNbPY5odCwNKdhHJh2rRCSAS1wOqYT8Oy8qRpTchnFh
dygchoO3VKXqJiBxzdg2kJJRk7Oh9uZWJSTWwTkpJiyMTnenFKRkgdI1afC+mQOgD9XwGw0Cbw50
ysIoZ5iwm9HWw2rCinBfA92aGoJvmeAOWtjA7s3oR+XDfkn0dVu5h2aM/Ec0hMfIDh3kGvwYM3MO
0g4TZsAv7TTUYVr45Idh3XbLAjE/JkhoiKhOvE5Bto8QNJLYWMmVd6NFWv51lOiVS77N+Eo1vlmS
/7VXJTAI3XXh68Eq953V2MOe8ez8AAL1tYl7OWpFGNaYK1+zTySnOvNl8wFJt+MkEWQOns3RxIA9
p7Uya1XvvG0z1IczxFWDZRn6zjzqHbKltje/V2218tWwOXdt4MLgvRdJ3x2YwoPtn6Pt6Wijevv1
0baMH9INAkCiJf3qZAPXwjllORxeb/0RVNxeRBWoKwZ2eq+0rzTnC3Apnk3gyfoz8fSlhkR2ASkt
fgYKCiSu+UfaChSL7082KtVHnW8V4VYs596dbIxRLfSnbOdEpfGJn5Qy5svyMVppUuqrc8NPKve7
IwIaBr3EtkSEuZF4Z4bOYZk6EflYdBsV2b4QI23VGjCPTvdqkmtwVojs4yrttWLetM5ZZHc/0G4L
YOzba6dRlxLDf68KcPArlrKXL+1UO+5zaU8K4luj7LHLgyfthd1ZBBtvYtblzINYSnkNxRHBaoBK
08DJYKiHwxLs2LE6yrMAQRsEYgyIbvKwNyg0s1JJuQ3xUegRiViVtnWNKe1qLLu7PO2POGtiY04d
Zt4ItRt44hEw/eyhHGwoBDApQge/eXZYcQIQZdGHMhVbq+wVdQaRgVSyqwGSUHiXHM5Mryhe+bQp
NhJVNl4leGSSSyaTLqxAPkUUm2qgTXydrFkD+FRGjAhxQbTmYaes7ag8iKqoRaeAykzJmpukd78z
hfzqp9lJP6C8LaEdsUgqvHRSOV11gYVdQ1Chno7a5kzudPQOEztbYoVAMxBUyRT9p8M8HM4SAzMA
D+sFIsL9kICTk23QamXmXooKE7r7sCZb6RgdKD9qVdpX2mbV1cMhomMUcg60rrZiwI+BfQd3XQmR
IJSkSW/Wh2MUPyRS2l3zfR7UxvcxMY/0oBJU1dO4CClQ3a9dFdZTqFZhNVMArviHwGObkVZxBGoi
j+PMNyc4QTjFcU+7fhVXjGKnRusvA8j/FB0edahKAN23ogxKM/zgFeuSy3Pm7/kS/Kjz1Y2wRkPT
Q+Ckimw091qIkMu8NPR4Fje9t8QxkTGolZbqIeLmDQKgpr1HI0C+/iccPoZDlRbUr8Ph0boM8mxT
ri/+7iUiIi6tAeqxEIYBH/04v/tJqpe/aMgD2gZ6L5xyAMNfUn3riyMjQUMRgBKMbYhW10tAtL6I
nho2ftRyOsz6P3I9QMLmfUCEs4GJGuhSunhCjehtqo+GQ6RaNBNOEnnUXTxneZ57RfbtlVGmqXea
IUi6PzaF+d309a7cc6SURKrrpe6mHK3q0vH17KvjBMY4ZYN32UJLrfqq0sjRwWfEFqIQtCf0QLrs
VVr1QNfgZqlqBCXSBA+AQoinnDSteeHFw7rzxrXq0y8O+nOzspO5CwFZjZPgRB0YRSmROe9bl31e
7vsmmADgjvhnlS2O7vKwjgqmOEVHWtlgNkeXgu2OH2eMnay9wLGzZ76HcorROCvdK8tJi/Ndnpjn
emucJxBDZ5Fm3Q9ufzza2LTSfFoXafGVwv67b4f0HFz4ZmkKWgoLm3FpB04yzdoMFrdunIemdUiZ
cq3S+onMND4EmXPQ+BHtEVe1Z3ploWJfgnJKutye5mN03hY5Nr9jfqSVKMuPKSEJjAUWq2AYJsQ1
AlNM8llrvT/tgW0dIts/Hy1aGiZThEqRc7zJy4exKgdGhn0M/rPZi6twCbBjT0HMNrfgLQ2SM9V1
TA3QKqeiqIFXQPLmphTAT61t7AUp/6S3PXZgTnaZ+tE9qqVnto5tah7fKZF/YWag1eo61A9dw10F
uXQW5OLoMywcIBIMwbzGPPSExEIW6+e+aV7oJR0hotq9maUH46Cd54NN3SXbCMSmBHBEmUMEXvoD
BmcQRrp2omfpMg6A6ahCgADtgElTpJehWcUzE0b1AmHbuZlD+jLwJZQ6REh82V7ohdUeN0Iz2xoq
u56U+qqOzOQSImo/o810NrbophmaD6aYLmMhych/D803jLZuXZRWMLRk8gLHiG6QfcU0/dpy8bNE
/I5CFLKMuA25PZcGe1G440kMUgmtcBBcIH2G7BhE52HsRKdQ6L8HJjLNaTRCtOlpPcGcrvHIHA4A
QHNWGeFhpiLxQysQHyT7SrJ8aVIbGFUoYY8/exksoMMdG3lyojnlge6Yp20F/6AWZYpn6QtJK75z
+sx8QwUbi/mjmeG90JonuHpqSPEgg+e4C68tECp0qws7tG5NqT8qzeZBdZOLqrZW+K8chm2ESI1v
4R0XOxXEW74HfHDu8VNji40eHPc+biCrmSd8eEQcOv+6wPN3osjJieoqpwUSbYUT3QIOn+J5gZmv
HwG00ZLTGkUYFHD9Ayup0ytfdGSZ36sTWP3xgRQ3OVbTAw7HQCAY+CZrXIUi6uX4TIGWHksZ3BqS
ronvAPy1x8M4rY8aBaeVRr/pzGRda8r+aPCmHZ0ueLQxI2oayicV/hi6BvgyhwwbuJToZKcTXHsB
FUZQFNXImBBo4aD6+8zktINAKdOzSswH9nuojASItEUhSBtnjlPUe0poXzUJLiFellCeF0FYLYpY
rpcog1MSphkyHb2unvaDjklvoBz7bKwp37lxkkK2nRhtyZdTW/3VWGALTm4RH4R6aCxrlmDexVK8
p0BIneQ5co0TD0w3czWz9vdqScN/is5ujDuVrCyk0I0m/xzTj8e0kPn89TF98FBuKFrE3/w8oq0v
pmJC2jAFGYcR2CsWiPwF5AttN0T6xHiL4/PljEbfhqkSjCc6cozEXg++dHp4jL5kqETQ+1RKnT9o
x1nc2dtuHOcTynOUQJA20Y1+d0RbSu7JiLDVxxYDE0ShAx4x21eZbRS6s7Rae81j1EHwMHz4D2NI
Nz2p7GZwMAxUwxvc0hr3xHezBuV+lMWTKVIhnTzPJaOxTnO9LLvTtMuPcy0KLqSyg1cCd8NahNVY
ndmxH37HlmE8G1J6FcjuqMj60kSm2ZCCbwMNOfoCWV0hNoY7b4M5gJSE2lyprbi6STim+3zSxyNa
FTOtMasAAToMlpR9DJPG7Ks3DpFEc84NVXS+vXLpaB41jZV6y76tzVmZdSFs86GYd5xZyzZCbrLr
i3EpM8a4HHFeURhCDeY41yqkc2aD6oz9PG44JI9ySzjOpXouVcTi0Txqhspn/6qZ+TUwzTIUMFeY
5hSFS4UJWP010uLSmdPHjE96bI3VZWHx7wOwz+ux0xnr54UXkXf0fmatCqAi8j+NhSfVRsGg/fUW
ncd/zbJyfZ+xJ1OA0MPq/j//4+8//LlP6RNYDMjoHSDD+KjO+DOVxmJRyCVSmUNXeOw7vOxTzF2A
rP3sLbx2ELO/IPeNtKDBXjVNXf6jXFpH0erdRrW5DhLGoOQU+ArCYuZ127zw3N7A76c6keFcdOkg
QG7FTEJua2KFVXkqjbjrpYmZXRs6w1AEfjniLYlTNxmZhkptuj96SNCAS2ZE5+pX1MbWrKTTOc3h
XS5GvcYROhiDiVG6UG31JpsXrkPSW1XdYRiOqGPiA6j1tk+D0PrmVOnK8/10YY64WltGts/kATaY
Zq3qoL9ykb4H1JF/LTMh9iYFzp4ie3cw1S96TT6QkuY4k0Er0UlWQAaFCvZNgP/yDkUCxnxY8I3T
bHQOwiG+cWt1vzbxPfSFGCViHwuvMP1p05kIA/bGrVlG0l5dEwvK3hgWYOcezMx8IIyGs8p3wBsV
7ZHTa9eQYdN91HkyCGz2Wm39M4R5URoM8zsnTU4ioC221lpTvCCz7LKngTpHmWsZMfiEYWCu6WAs
vCw+S1AUQWU8eTBjMLPC0zWL86WOy6tVduedGXl7IIJsOsyGh8flOM7CQDLnjdSfWOBwMLZRLwMc
ZFthJUvdlGFeA7AIYRlzEuI4G7fdSjPr74mwoi2EKW0DvmYcsam15YEWQ9jZp33VeYc56g1AeG29
dA6Rrv0xNr6YzLfhvAobnfmE8Bcb436ZBAGj/AAObV4M/pkWqd+UAD2xXHhKqLYPnjLSbkaZBDoB
BdRcNGbsHdPFz/dHOSFQ+VK0Rytn3oXyuZLh96iBZwTGTkERycFl0Bn5xPUbe6JJdThDxJOulZmj
8pwhfSZJ2akXui5FFT1pU76wJABwXVjeN02/J8cmLKCUJR6SmRv2V7kR3FtIMbtSCLBAQbKpK5HJ
tKRmrZMr0TrWblCV+Y6YFT7GnrXE9iQDZxDuqbL3tbAwRsMofCGpaFAVo71A3mXWw0NI4+jQdK0j
pcEkwYaelIzpD1mo17QN/BATf4VpHjGEbqXwTjGlawM0HLyl89ivD4dWuoAi972O4we/BIFaNNIB
4PdjWXO/9Wl4MHRoEFKRXXoJUwC/dC/c3jqoQ1YoVz19gcdYN40g5aeqfuNa3Te4o+CiPGQxeomU
1grkW5Bx510ZHns5fvYuOETbak86RT/XBj5LAnChrJQVpKEpfq/7HqKYjdkdcNreekN9aetUrKlx
3OoGqt3jnlairCVTMkTVcG00tr1Eni7B7565DmEOheVCgp8zZKAGe7BQnP7XZZXsQ686ijR1hUXQ
JQY+NuvhauDAuhUNoGDKAwsRX4rPYRne5lrigE2PsWU37SW2Tdo8RrNpjk6mgNExc88cpkY68iYh
6ncrjsVpXykLW0V7WkRcopSSzSO9Pc0oiEDF1fKiQVmIqpuqnDGKzBIQk860wTwKG+eOtEiMMMxv
qolkOupmIN0GZdIOuT/LRIgr/RGHaPmr6qRoa2A9o+ZVMqloqzqKEe8lLerWMZ42HqxvOEn9VTN6
XxVZv7USJlmeah9FrY/VoEeLMqzic7Jp/BK9SJkOqnWrIm0zV9KYsbmZzwcNG7wkUHUxM1pEQfOj
rEf3a1ggsRGUykUatGjkMji8y30JZdy2nWcVMSIIrhDePikRRkHZ6MfYZ6hrpS7zlFyeRkmBLnhQ
GRIzx2pMrhJPsryjUcUdlaJPcFKNA8MuL5wBKF+ZWKBgxux7NgbOPNdbbVJH47Xbwhaz2grxQamY
jk15qgfxsU9HRDPc733V/FCaJmUbl/tkUPMInwNcoIyzJhqPGkdCa1QuwTXgzGcj/iJLpQa/NgVQ
0blIoIzNhdYzM3Xl/TgLL8MWSE4EWJy7Ga9xjzqqiuEyMbqzvAtPeR5YhL75lkTK8Wj48qRGD5SJ
KR0aq20mPXzYVBuOFbPal/vwQJf7bympoqsbp6ZXzXIHXJPNP/S6j2xebFJaGTqHnAmxNQhr/Bpk
tQZdCMgnyPfSIt0rw3qcWElF2DGRijGF2aVC88dU3Hhp5uFqHG15JUXdKg1NH7YqXfZ0qNUVDdoA
58MQmRwtx+1PLhk3w6iAnRgwSmSm9f+lcHomWMzW9Xr+mBidNTTizx8qKILVS00hfnqawau8yP53
v/T7Cz2nZBdD/vCf/7G+x1qUwXZdBnc1xdD7dE1/X4o93tjjXf/2OvGatK+55x10HPfokwpPPRS1
efEucZZ6zz+WsC1hJCSKLvUJ7/hqjX61Cr//gE/L+fvf+fXNv14DA1eJd3nuv/P5+YA/Pz6OF6oB
1QLO/9PHRxXgzcenn0yGi4wPpPbH1+tn+XePwu8/4HaL8OFJEEJA/4uVEN/166WwkZXB/5cMWbyo
Id4sBU8C2BXdElM8iov/4wfhwxoIBYet10DH/1hGIEizntaAmuLNGvA4qCjjyqbMT3ZyEZT3pd+/
syXePgj6F9nAoBNxll8sgv1FxYYTd/inmMGe2cml0N4jtP98KSxaSzIAbaSVn17vngf2BHWw0JR6
2n+7tyn0pwf1ScvqZ8D6kyOCGEmxbmEJBEhcvMTT8uaIUECyiycCCZbdfBIEhe5NP+TPnwRdfNE0
HjkpNj4J4qBwGBICCHz5+W5uiu2XAuEderM0Wp+X4sNBIQtbD4fuEC2bnVwE/SlkbbcpRATERus5
Mrw/KVTlC1GDVrZwvdrJRfjQJPzzTYEVi+oIZ73nPUEQfBsZZLr2SJUBUnqMHLt6UggxqC3jA+xg
UiMklEhCPqyBpZI1YPkiXru6BkIJb+s1wIFAfN3PyTTVydul4KCw6NaisbXTMfK51NkmPJAiOUI8
UaWvLl4floJk2nbQ0xRo750MDwK7suXzYAI0VJnlIVT48n2/eR4Um3Ef+qUEyh1dhOfgvcWTgIKd
pZEgMs/cvAikkCa5FfboT8X87qWQAqW03ZNAl0GQHEE8kZK/eQRU/QuzYE5RdsPja0cfhOdUZosH
QYNqwjjZAEr2bg0UQGZ0YACaPRdcu7oGn1Ff00rS+KTPpcT7sMhSAD+WOUV2dQ22PyWFWIgg1b58
2x/SZ44Gpq0ABXc1VRCn2XYBQROR30TAAerT4+tDTSl/gRntAObYibYjt/e+96puvxtIEgwA8uZL
c+H9kyC6TSDnYXTv6nZ4/na2CYtiEUgZYeY9PQk89G9PCPWLICsw5t/VJ+GDKtGfF1IgkDkadJUe
w+PrfVykmlQdFXogcAfx2tXIIIzZt4sM5Ev4T9M8UJ77KB8yBiYWgEFAgj291+7lSwLzst0i4Oam
kjGChaP7+Px9v90UhEdKalzldzUyiC7hlovgfEH+CPs5vuvH1/u8iU2BeDjSFOqubgfjqfezXXjE
7I9cQOZSbx8BCguLHjzp8+NK794+EKaBWz4C9heIEiaV9HOa8CEuPibViJSItgvvtXuLIL63rRcB
ergDa+QXQykqSLjt8FoEBG4nF8H4jAoSyLzJYOoX/XcxnaT7Tjh4OkJ3dVOo228KskLEOplSPuUC
H3tLtNk4Ogibu5oxiRJ4y02h0VkmbYTmtflwoJK0DXquQMZ2dFNoW+dKGg02AHfCW/1pEUgG3p8R
MHxlOi87+yRsnyZYMP5wQfpZRn1IE2ShzukwrdZfcqmdDJKCdrjdpqDNBs6N9vtzFfExMpA28mPw
3E9RaPeOS2X74xIEukCEy0xcHl8fWgsw4xVInoDbdzQyPJ/j26SN2EQLPxXVej4jCIJvI4MMTp+k
AVjTji7CM8Jmu0Wg9W4aWJ9vDo/0V1D/4X/PT93ubQdj+/BofqHZKpKiXyPcVEeMqo1dracF82O7
wMhBaVrUUVDDn2LChzpC+WJCVYRz9rTgu/ck6E/7dJvt4FAmqCpN1+ft8OGgZBFEL25380bjKZfb
YhHEJAoNb5ptz+2l9z1X6ghRbAPj2dW88Tlib7EIILoQN2cNkBh9fH14EtQvBlMa0E5PifrubQfI
Y1vGBDGYNZjDoAXxtAgfngTAoGQS4F13NiZsP4Kgx4bQLNPXp9x4U8bIDwG+0YAXr13dFM8twG02
BeFR1JJ4zT2dER9SJo3nAY8gZHl3NGX6IEn854MIsQgIRgkV4cfXh+SZniuJs81RuaOL8IGe/ueL
YHxBP0P0nZ9Qa+Khf5M8kzeKjhyn6a4+CUL+csuUiS6TmL/CqP/Fk8Bcjlm+SaNpR5+E56npdjEB
+BK74SNuhZ4regSgonf1cFCeQvU2n57mOmgVtIp+AWJTDE4Pg2gB8FG8dvVw0J6+o22WAu46XHgK
ZvkXyYIYWz5qO+12k+m5yNtmKUgehUYgZcJTYHgfHVV0tlDQUDBR3dHA8EFo7M+PiEcQD3UEUp2P
r/eLwBHhoEBmM7h6emB2dCm07aOExvMgG7i/Pq3Ex9OSBi0wH1XZWVCXvn18oN9mMX2SX1ALGyoq
sOFCr2JXm47CAGLLlMGGAgOUlRb00zP/fhFEv40XmKddndYq2+dN9NtAtYHV+cVMhkVAok44t/9B
8vhvFOA/Cco4QMX3j9Tk4KHaxGD+1S+8UFY//vwV+O2RdPvmNwVV+enNnyBy4t//6y1z+XEu/+qn
L3P6x3d6/vvnj/jxzd+82cvnevmPe8FDuS7vsFR4JGw/3+jxOoHb/N8x/3e/fg/dEw/ny3/bTLP+
uQ1+f3UsvB9eLvRKQod99PdH/cjh/vcuniDPU75c6NXFCddbX3zS1PWmGycKbn3t6Tpet3wl1cu1
Xt076cD21/+d3v/jI7DFVzrN0rpc/zXNqvrDU0MVRJ2z9f3PHuK/jrNy4/pzMmx9/X+l7bTtEi3K
hyrdJBxFrN/65n+neL3tjeMdcJvF9/XLbf79XAp6w9a3vkryhzJYxy+XenX5z9iyKxyfN1z6M3bs
bwT7tl3zgyD1NgQCcchuveCH62hDDBODvE+4dFU9bBIx/IwNephVf/136j3ED5tWhpRg69s/Wt8T
gF8u9OpB/IwtKlSYNy3NZ5yo/0Lhedun8eghvc/ugk3RS3SPt1/3h/Lu4f7lQn+vuxgfbH/xjHt/
uc6ra3/GmXqUbVyTz9ilXLp+KB+GDXf+GTv1eJ1veNBFs27rBT9+aNcfc0cEDD9ji56Ua0LAy12+
+jo/Y4uexuu7hw25o4CKb70sp3GTbErutM84RM8DUscquN+wMqJPsfXNf13flZQEab3hLBU9wk94
g/SvyUMabHyDz9iqwuJ6gsLuurzfGMiEzcenfIpZ8OBtWqXP2LXiQyzYAXdBdbfpPT5j+/5rL/Bt
jxPxDodNUP11couM76bP8RmbWbzL0bp+2HT9z9jPXL9e/zVZl7frTTmDEE75jOeJ95jGm9/hcza2
+BTYMY4vt/t3TBXNve0/gr/eWBMKAbbtL04PY+Pif8pmDqooGLLm5T5fLcyn7OUM76kND6cAHG+/
MCQmyYYDXhBLtr94vU6DKl431cvFXi3Np2xd0WbZcA4LJNfWd3/x4K83LY1gWmx/cXJ8ZKFfrvT3
ugj81fZXb4gEG454MUn9hIvTIEo29eXE5Gvry19yhWbTXhXac1tf/SaLN2wlQSLb/tK/9qP+/UG4
qS37k2f1sVn7Imy46c/e9qLFb9zFD+vyv/4HAAD//w==</cx:binary>
              </cx:geoCache>
            </cx:geography>
          </cx:layoutPr>
          <cx:valueColors>
            <cx:minColor>
              <a:schemeClr val="accent6">
                <a:lumMod val="40000"/>
                <a:lumOff val="60000"/>
              </a:schemeClr>
            </cx:minColor>
          </cx:valueColors>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2.xml"/><Relationship Id="rId7" Type="http://schemas.microsoft.com/office/2014/relationships/chartEx" Target="../charts/chartEx2.xml"/><Relationship Id="rId2" Type="http://schemas.openxmlformats.org/officeDocument/2006/relationships/image" Target="../media/image1.emf"/><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0</xdr:rowOff>
    </xdr:from>
    <xdr:to>
      <xdr:col>3</xdr:col>
      <xdr:colOff>12700</xdr:colOff>
      <xdr:row>54</xdr:row>
      <xdr:rowOff>120135</xdr:rowOff>
    </xdr:to>
    <xdr:sp macro="" textlink="">
      <xdr:nvSpPr>
        <xdr:cNvPr id="2" name="Rectangle 1">
          <a:extLst>
            <a:ext uri="{FF2B5EF4-FFF2-40B4-BE49-F238E27FC236}">
              <a16:creationId xmlns:a16="http://schemas.microsoft.com/office/drawing/2014/main" id="{FDB3059B-CF69-2706-2F02-0E4DE5345156}"/>
            </a:ext>
          </a:extLst>
        </xdr:cNvPr>
        <xdr:cNvSpPr/>
      </xdr:nvSpPr>
      <xdr:spPr>
        <a:xfrm>
          <a:off x="31750" y="0"/>
          <a:ext cx="1714328" cy="10314459"/>
        </a:xfrm>
        <a:prstGeom prst="rect">
          <a:avLst/>
        </a:prstGeom>
        <a:solidFill>
          <a:schemeClr val="accent6">
            <a:lumMod val="50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57728</xdr:colOff>
      <xdr:row>0</xdr:row>
      <xdr:rowOff>39091</xdr:rowOff>
    </xdr:from>
    <xdr:to>
      <xdr:col>33</xdr:col>
      <xdr:colOff>405695</xdr:colOff>
      <xdr:row>55</xdr:row>
      <xdr:rowOff>0</xdr:rowOff>
    </xdr:to>
    <xdr:sp macro="" textlink="">
      <xdr:nvSpPr>
        <xdr:cNvPr id="3" name="Rectangle 2">
          <a:extLst>
            <a:ext uri="{FF2B5EF4-FFF2-40B4-BE49-F238E27FC236}">
              <a16:creationId xmlns:a16="http://schemas.microsoft.com/office/drawing/2014/main" id="{CBFED39B-4EA0-4690-A59B-3929456182A3}"/>
            </a:ext>
          </a:extLst>
        </xdr:cNvPr>
        <xdr:cNvSpPr/>
      </xdr:nvSpPr>
      <xdr:spPr>
        <a:xfrm>
          <a:off x="1789546" y="39091"/>
          <a:ext cx="18820694" cy="10544242"/>
        </a:xfrm>
        <a:prstGeom prst="rect">
          <a:avLst/>
        </a:prstGeom>
        <a:solidFill>
          <a:schemeClr val="accent6">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182803</xdr:colOff>
      <xdr:row>2</xdr:row>
      <xdr:rowOff>28864</xdr:rowOff>
    </xdr:from>
    <xdr:to>
      <xdr:col>3</xdr:col>
      <xdr:colOff>97364</xdr:colOff>
      <xdr:row>6</xdr:row>
      <xdr:rowOff>48106</xdr:rowOff>
    </xdr:to>
    <xdr:sp macro="" textlink="Pivot!G5">
      <xdr:nvSpPr>
        <xdr:cNvPr id="4" name="TextBox 3">
          <a:extLst>
            <a:ext uri="{FF2B5EF4-FFF2-40B4-BE49-F238E27FC236}">
              <a16:creationId xmlns:a16="http://schemas.microsoft.com/office/drawing/2014/main" id="{F3054940-717B-2383-B153-215B65FBC4E0}"/>
            </a:ext>
          </a:extLst>
        </xdr:cNvPr>
        <xdr:cNvSpPr txBox="1"/>
      </xdr:nvSpPr>
      <xdr:spPr>
        <a:xfrm>
          <a:off x="182803" y="394470"/>
          <a:ext cx="1656000" cy="750454"/>
        </a:xfrm>
        <a:prstGeom prst="rect">
          <a:avLst/>
        </a:prstGeom>
        <a:noFill/>
        <a:ln>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indent="0"/>
          <a:fld id="{B6CF670C-6220-4007-9E56-1186EEF577BC}" type="TxLink">
            <a:rPr lang="en-US"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rPr>
            <a:pPr marL="0" indent="0"/>
            <a:t>2,400</a:t>
          </a:fld>
          <a:endParaRPr lang="en-IN"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endParaRPr>
        </a:p>
      </xdr:txBody>
    </xdr:sp>
    <xdr:clientData/>
  </xdr:twoCellAnchor>
  <xdr:twoCellAnchor>
    <xdr:from>
      <xdr:col>0</xdr:col>
      <xdr:colOff>162021</xdr:colOff>
      <xdr:row>8</xdr:row>
      <xdr:rowOff>38486</xdr:rowOff>
    </xdr:from>
    <xdr:to>
      <xdr:col>3</xdr:col>
      <xdr:colOff>76582</xdr:colOff>
      <xdr:row>12</xdr:row>
      <xdr:rowOff>67350</xdr:rowOff>
    </xdr:to>
    <xdr:sp macro="" textlink="Pivot!H5">
      <xdr:nvSpPr>
        <xdr:cNvPr id="5" name="TextBox 4">
          <a:extLst>
            <a:ext uri="{FF2B5EF4-FFF2-40B4-BE49-F238E27FC236}">
              <a16:creationId xmlns:a16="http://schemas.microsoft.com/office/drawing/2014/main" id="{6AD59E50-229E-4DFD-9AB5-A105115CCAB6}"/>
            </a:ext>
          </a:extLst>
        </xdr:cNvPr>
        <xdr:cNvSpPr txBox="1"/>
      </xdr:nvSpPr>
      <xdr:spPr>
        <a:xfrm>
          <a:off x="162021" y="1500910"/>
          <a:ext cx="1656000" cy="760076"/>
        </a:xfrm>
        <a:prstGeom prst="rect">
          <a:avLst/>
        </a:prstGeom>
        <a:noFill/>
        <a:ln>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indent="0"/>
          <a:fld id="{159A6762-6B39-4DF5-9A88-38D76234F83E}" type="TxLink">
            <a:rPr lang="en-US"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rPr>
            <a:pPr marL="0" indent="0"/>
            <a:t>11,997</a:t>
          </a:fld>
          <a:endParaRPr lang="en-IN"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endParaRPr>
        </a:p>
      </xdr:txBody>
    </xdr:sp>
    <xdr:clientData/>
  </xdr:twoCellAnchor>
  <xdr:twoCellAnchor>
    <xdr:from>
      <xdr:col>0</xdr:col>
      <xdr:colOff>0</xdr:colOff>
      <xdr:row>14</xdr:row>
      <xdr:rowOff>64268</xdr:rowOff>
    </xdr:from>
    <xdr:to>
      <xdr:col>3</xdr:col>
      <xdr:colOff>9623</xdr:colOff>
      <xdr:row>18</xdr:row>
      <xdr:rowOff>105833</xdr:rowOff>
    </xdr:to>
    <xdr:sp macro="" textlink="Pivot!I5">
      <xdr:nvSpPr>
        <xdr:cNvPr id="6" name="TextBox 5">
          <a:extLst>
            <a:ext uri="{FF2B5EF4-FFF2-40B4-BE49-F238E27FC236}">
              <a16:creationId xmlns:a16="http://schemas.microsoft.com/office/drawing/2014/main" id="{A2B8BA8B-0534-450B-A177-D04464BBCB57}"/>
            </a:ext>
          </a:extLst>
        </xdr:cNvPr>
        <xdr:cNvSpPr txBox="1"/>
      </xdr:nvSpPr>
      <xdr:spPr>
        <a:xfrm>
          <a:off x="0" y="2623510"/>
          <a:ext cx="1751062" cy="772778"/>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marL="0" indent="0"/>
          <a:fld id="{6F408E83-0641-4FE9-95BE-0EE482EA7F8E}" type="TxLink">
            <a:rPr lang="en-US" sz="32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rPr>
            <a:pPr marL="0" indent="0"/>
            <a:t>$649.0k</a:t>
          </a:fld>
          <a:endParaRPr lang="en-IN" sz="32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endParaRPr>
        </a:p>
      </xdr:txBody>
    </xdr:sp>
    <xdr:clientData/>
  </xdr:twoCellAnchor>
  <xdr:twoCellAnchor>
    <xdr:from>
      <xdr:col>0</xdr:col>
      <xdr:colOff>0</xdr:colOff>
      <xdr:row>19</xdr:row>
      <xdr:rowOff>43486</xdr:rowOff>
    </xdr:from>
    <xdr:to>
      <xdr:col>3</xdr:col>
      <xdr:colOff>19243</xdr:colOff>
      <xdr:row>23</xdr:row>
      <xdr:rowOff>76970</xdr:rowOff>
    </xdr:to>
    <xdr:sp macro="" textlink="Pivot!J5">
      <xdr:nvSpPr>
        <xdr:cNvPr id="7" name="TextBox 6">
          <a:extLst>
            <a:ext uri="{FF2B5EF4-FFF2-40B4-BE49-F238E27FC236}">
              <a16:creationId xmlns:a16="http://schemas.microsoft.com/office/drawing/2014/main" id="{EABC82CE-42C1-476A-A9B2-D005455E518E}"/>
            </a:ext>
          </a:extLst>
        </xdr:cNvPr>
        <xdr:cNvSpPr txBox="1"/>
      </xdr:nvSpPr>
      <xdr:spPr>
        <a:xfrm>
          <a:off x="0" y="3516744"/>
          <a:ext cx="1760682" cy="764696"/>
        </a:xfrm>
        <a:prstGeom prst="rect">
          <a:avLst/>
        </a:prstGeom>
        <a:noFill/>
        <a:ln>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indent="0" algn="ctr"/>
          <a:fld id="{2AB55BEA-48B1-457C-B1AF-F0E882061DF6}" type="TxLink">
            <a:rPr lang="en-US"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rPr>
            <a:pPr marL="0" indent="0" algn="ctr"/>
            <a:t>4.0</a:t>
          </a:fld>
          <a:endParaRPr lang="en-IN"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endParaRPr>
        </a:p>
      </xdr:txBody>
    </xdr:sp>
    <xdr:clientData/>
  </xdr:twoCellAnchor>
  <xdr:twoCellAnchor>
    <xdr:from>
      <xdr:col>0</xdr:col>
      <xdr:colOff>3466</xdr:colOff>
      <xdr:row>24</xdr:row>
      <xdr:rowOff>41946</xdr:rowOff>
    </xdr:from>
    <xdr:to>
      <xdr:col>2</xdr:col>
      <xdr:colOff>245148</xdr:colOff>
      <xdr:row>27</xdr:row>
      <xdr:rowOff>94575</xdr:rowOff>
    </xdr:to>
    <xdr:sp macro="" textlink="Pivot!K5">
      <xdr:nvSpPr>
        <xdr:cNvPr id="8" name="TextBox 7">
          <a:extLst>
            <a:ext uri="{FF2B5EF4-FFF2-40B4-BE49-F238E27FC236}">
              <a16:creationId xmlns:a16="http://schemas.microsoft.com/office/drawing/2014/main" id="{D4E55CA7-4C4E-4EEC-87B5-B75869155971}"/>
            </a:ext>
          </a:extLst>
        </xdr:cNvPr>
        <xdr:cNvSpPr txBox="1"/>
      </xdr:nvSpPr>
      <xdr:spPr>
        <a:xfrm>
          <a:off x="3466" y="4581520"/>
          <a:ext cx="1646788" cy="620076"/>
        </a:xfrm>
        <a:prstGeom prst="rect">
          <a:avLst/>
        </a:prstGeom>
        <a:noFill/>
        <a:ln>
          <a:noFill/>
        </a:ln>
        <a:effectLst>
          <a:outerShdw blurRad="50800" dist="38100" dir="13500000" algn="br" rotWithShape="0">
            <a:prstClr val="black">
              <a:alpha val="40000"/>
            </a:prstClr>
          </a:outerShdw>
        </a:effectLst>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indent="0" algn="ctr"/>
          <a:fld id="{FF936CB2-F449-47E9-B991-FC3ABCE8F30C}" type="TxLink">
            <a:rPr lang="en-US"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rPr>
            <a:pPr marL="0" indent="0" algn="ctr"/>
            <a:t>2.3</a:t>
          </a:fld>
          <a:endParaRPr lang="en-IN" sz="3600" b="1" i="0" u="none" strike="noStrike" cap="none" spc="0">
            <a:ln w="0"/>
            <a:gradFill>
              <a:gsLst>
                <a:gs pos="21000">
                  <a:srgbClr val="53575C"/>
                </a:gs>
                <a:gs pos="88000">
                  <a:srgbClr val="C5C7CA"/>
                </a:gs>
              </a:gsLst>
              <a:lin ang="5400000"/>
            </a:gradFill>
            <a:effectLst/>
            <a:latin typeface="Bahnschrift Light" panose="020B0502040204020203" pitchFamily="34" charset="0"/>
            <a:ea typeface="+mn-ea"/>
            <a:cs typeface="+mn-cs"/>
          </a:endParaRPr>
        </a:p>
      </xdr:txBody>
    </xdr:sp>
    <xdr:clientData/>
  </xdr:twoCellAnchor>
  <xdr:twoCellAnchor>
    <xdr:from>
      <xdr:col>0</xdr:col>
      <xdr:colOff>144318</xdr:colOff>
      <xdr:row>0</xdr:row>
      <xdr:rowOff>125076</xdr:rowOff>
    </xdr:from>
    <xdr:to>
      <xdr:col>2</xdr:col>
      <xdr:colOff>144318</xdr:colOff>
      <xdr:row>2</xdr:row>
      <xdr:rowOff>96212</xdr:rowOff>
    </xdr:to>
    <xdr:sp macro="" textlink="">
      <xdr:nvSpPr>
        <xdr:cNvPr id="9" name="TextBox 8">
          <a:extLst>
            <a:ext uri="{FF2B5EF4-FFF2-40B4-BE49-F238E27FC236}">
              <a16:creationId xmlns:a16="http://schemas.microsoft.com/office/drawing/2014/main" id="{2AFF136F-9AC9-5395-AA60-BDACF9D330DA}"/>
            </a:ext>
          </a:extLst>
        </xdr:cNvPr>
        <xdr:cNvSpPr txBox="1"/>
      </xdr:nvSpPr>
      <xdr:spPr>
        <a:xfrm>
          <a:off x="144318" y="125076"/>
          <a:ext cx="1414318" cy="33674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cap="none" spc="50">
              <a:ln w="0"/>
              <a:solidFill>
                <a:schemeClr val="bg2"/>
              </a:solidFill>
              <a:effectLst>
                <a:innerShdw blurRad="63500" dist="50800" dir="13500000">
                  <a:srgbClr val="000000">
                    <a:alpha val="50000"/>
                  </a:srgbClr>
                </a:innerShdw>
              </a:effectLst>
              <a:latin typeface="Bahnschrift Light" panose="020B0502040204020203" pitchFamily="34" charset="0"/>
            </a:rPr>
            <a:t>Orders</a:t>
          </a:r>
          <a:r>
            <a:rPr lang="en-IN" sz="1600" b="1" cap="none" spc="50" baseline="0">
              <a:ln w="0"/>
              <a:solidFill>
                <a:schemeClr val="bg2"/>
              </a:solidFill>
              <a:effectLst>
                <a:innerShdw blurRad="63500" dist="50800" dir="13500000">
                  <a:srgbClr val="000000">
                    <a:alpha val="50000"/>
                  </a:srgbClr>
                </a:innerShdw>
              </a:effectLst>
              <a:latin typeface="Bahnschrift Light" panose="020B0502040204020203" pitchFamily="34" charset="0"/>
            </a:rPr>
            <a:t> 🛒</a:t>
          </a:r>
          <a:endParaRPr lang="en-IN" sz="1600" b="1" cap="none" spc="50">
            <a:ln w="0"/>
            <a:solidFill>
              <a:schemeClr val="bg2"/>
            </a:solidFill>
            <a:effectLst>
              <a:innerShdw blurRad="63500" dist="50800" dir="13500000">
                <a:srgbClr val="000000">
                  <a:alpha val="50000"/>
                </a:srgbClr>
              </a:innerShdw>
            </a:effectLst>
            <a:latin typeface="Bahnschrift Light" panose="020B0502040204020203" pitchFamily="34" charset="0"/>
          </a:endParaRPr>
        </a:p>
      </xdr:txBody>
    </xdr:sp>
    <xdr:clientData/>
  </xdr:twoCellAnchor>
  <xdr:twoCellAnchor>
    <xdr:from>
      <xdr:col>0</xdr:col>
      <xdr:colOff>190887</xdr:colOff>
      <xdr:row>6</xdr:row>
      <xdr:rowOff>75417</xdr:rowOff>
    </xdr:from>
    <xdr:to>
      <xdr:col>2</xdr:col>
      <xdr:colOff>190887</xdr:colOff>
      <xdr:row>8</xdr:row>
      <xdr:rowOff>46553</xdr:rowOff>
    </xdr:to>
    <xdr:sp macro="" textlink="">
      <xdr:nvSpPr>
        <xdr:cNvPr id="10" name="TextBox 9">
          <a:extLst>
            <a:ext uri="{FF2B5EF4-FFF2-40B4-BE49-F238E27FC236}">
              <a16:creationId xmlns:a16="http://schemas.microsoft.com/office/drawing/2014/main" id="{1D346920-1688-4C91-A28C-138DE7075AC2}"/>
            </a:ext>
          </a:extLst>
        </xdr:cNvPr>
        <xdr:cNvSpPr txBox="1"/>
      </xdr:nvSpPr>
      <xdr:spPr>
        <a:xfrm>
          <a:off x="190887" y="1172235"/>
          <a:ext cx="1414318" cy="33674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cap="none" spc="50">
              <a:ln w="0"/>
              <a:solidFill>
                <a:schemeClr val="bg2"/>
              </a:solidFill>
              <a:effectLst>
                <a:innerShdw blurRad="63500" dist="50800" dir="13500000">
                  <a:srgbClr val="000000">
                    <a:alpha val="50000"/>
                  </a:srgbClr>
                </a:innerShdw>
              </a:effectLst>
              <a:latin typeface="Bahnschrift Light" panose="020B0502040204020203" pitchFamily="34" charset="0"/>
            </a:rPr>
            <a:t>Quantity</a:t>
          </a:r>
          <a:r>
            <a:rPr lang="en-IN" sz="1600" b="1" cap="none" spc="50" baseline="0">
              <a:ln w="0"/>
              <a:solidFill>
                <a:schemeClr val="bg2"/>
              </a:solidFill>
              <a:effectLst>
                <a:innerShdw blurRad="63500" dist="50800" dir="13500000">
                  <a:srgbClr val="000000">
                    <a:alpha val="50000"/>
                  </a:srgbClr>
                </a:innerShdw>
              </a:effectLst>
              <a:latin typeface="Bahnschrift Light" panose="020B0502040204020203" pitchFamily="34" charset="0"/>
            </a:rPr>
            <a:t> 👕</a:t>
          </a:r>
          <a:endParaRPr lang="en-IN" sz="1600" b="1" cap="none" spc="50">
            <a:ln w="0"/>
            <a:solidFill>
              <a:schemeClr val="bg2"/>
            </a:solidFill>
            <a:effectLst>
              <a:innerShdw blurRad="63500" dist="50800" dir="13500000">
                <a:srgbClr val="000000">
                  <a:alpha val="50000"/>
                </a:srgbClr>
              </a:innerShdw>
            </a:effectLst>
            <a:latin typeface="Bahnschrift Light" panose="020B0502040204020203" pitchFamily="34" charset="0"/>
          </a:endParaRPr>
        </a:p>
      </xdr:txBody>
    </xdr:sp>
    <xdr:clientData/>
  </xdr:twoCellAnchor>
  <xdr:twoCellAnchor>
    <xdr:from>
      <xdr:col>0</xdr:col>
      <xdr:colOff>105834</xdr:colOff>
      <xdr:row>12</xdr:row>
      <xdr:rowOff>73890</xdr:rowOff>
    </xdr:from>
    <xdr:to>
      <xdr:col>2</xdr:col>
      <xdr:colOff>105834</xdr:colOff>
      <xdr:row>14</xdr:row>
      <xdr:rowOff>45026</xdr:rowOff>
    </xdr:to>
    <xdr:sp macro="" textlink="">
      <xdr:nvSpPr>
        <xdr:cNvPr id="11" name="TextBox 10">
          <a:extLst>
            <a:ext uri="{FF2B5EF4-FFF2-40B4-BE49-F238E27FC236}">
              <a16:creationId xmlns:a16="http://schemas.microsoft.com/office/drawing/2014/main" id="{CCDD0BB4-EEB8-4D02-B052-388354238A2B}"/>
            </a:ext>
          </a:extLst>
        </xdr:cNvPr>
        <xdr:cNvSpPr txBox="1"/>
      </xdr:nvSpPr>
      <xdr:spPr>
        <a:xfrm>
          <a:off x="105834" y="2267526"/>
          <a:ext cx="1414318" cy="33674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cap="none" spc="50">
              <a:ln w="0"/>
              <a:solidFill>
                <a:schemeClr val="bg2"/>
              </a:solidFill>
              <a:effectLst>
                <a:innerShdw blurRad="63500" dist="50800" dir="13500000">
                  <a:srgbClr val="000000">
                    <a:alpha val="50000"/>
                  </a:srgbClr>
                </a:innerShdw>
              </a:effectLst>
              <a:latin typeface="Bahnschrift Light" panose="020B0502040204020203" pitchFamily="34" charset="0"/>
            </a:rPr>
            <a:t>Amount💵</a:t>
          </a:r>
        </a:p>
      </xdr:txBody>
    </xdr:sp>
    <xdr:clientData/>
  </xdr:twoCellAnchor>
  <xdr:twoCellAnchor>
    <xdr:from>
      <xdr:col>0</xdr:col>
      <xdr:colOff>104295</xdr:colOff>
      <xdr:row>17</xdr:row>
      <xdr:rowOff>130075</xdr:rowOff>
    </xdr:from>
    <xdr:to>
      <xdr:col>2</xdr:col>
      <xdr:colOff>288636</xdr:colOff>
      <xdr:row>19</xdr:row>
      <xdr:rowOff>57728</xdr:rowOff>
    </xdr:to>
    <xdr:sp macro="" textlink="">
      <xdr:nvSpPr>
        <xdr:cNvPr id="12" name="TextBox 11">
          <a:extLst>
            <a:ext uri="{FF2B5EF4-FFF2-40B4-BE49-F238E27FC236}">
              <a16:creationId xmlns:a16="http://schemas.microsoft.com/office/drawing/2014/main" id="{51E0D4E4-9764-47C9-AC21-45857FD31164}"/>
            </a:ext>
          </a:extLst>
        </xdr:cNvPr>
        <xdr:cNvSpPr txBox="1"/>
      </xdr:nvSpPr>
      <xdr:spPr>
        <a:xfrm>
          <a:off x="104295" y="3237727"/>
          <a:ext cx="1598659" cy="29325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cap="none" spc="50">
              <a:ln w="0"/>
              <a:solidFill>
                <a:schemeClr val="bg2"/>
              </a:solidFill>
              <a:effectLst>
                <a:innerShdw blurRad="63500" dist="50800" dir="13500000">
                  <a:srgbClr val="000000">
                    <a:alpha val="50000"/>
                  </a:srgbClr>
                </a:innerShdw>
              </a:effectLst>
              <a:latin typeface="Bahnschrift Light" panose="020B0502040204020203" pitchFamily="34" charset="0"/>
            </a:rPr>
            <a:t>Avg. Rating⭐</a:t>
          </a:r>
        </a:p>
      </xdr:txBody>
    </xdr:sp>
    <xdr:clientData/>
  </xdr:twoCellAnchor>
  <xdr:twoCellAnchor>
    <xdr:from>
      <xdr:col>0</xdr:col>
      <xdr:colOff>73893</xdr:colOff>
      <xdr:row>22</xdr:row>
      <xdr:rowOff>109289</xdr:rowOff>
    </xdr:from>
    <xdr:to>
      <xdr:col>3</xdr:col>
      <xdr:colOff>519546</xdr:colOff>
      <xdr:row>24</xdr:row>
      <xdr:rowOff>9619</xdr:rowOff>
    </xdr:to>
    <xdr:sp macro="" textlink="">
      <xdr:nvSpPr>
        <xdr:cNvPr id="13" name="TextBox 12">
          <a:extLst>
            <a:ext uri="{FF2B5EF4-FFF2-40B4-BE49-F238E27FC236}">
              <a16:creationId xmlns:a16="http://schemas.microsoft.com/office/drawing/2014/main" id="{37DDB3A0-472A-4A13-9824-FE00C93791EA}"/>
            </a:ext>
          </a:extLst>
        </xdr:cNvPr>
        <xdr:cNvSpPr txBox="1"/>
      </xdr:nvSpPr>
      <xdr:spPr>
        <a:xfrm>
          <a:off x="73893" y="4130956"/>
          <a:ext cx="2187092" cy="26593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cap="none" spc="50">
              <a:ln w="0"/>
              <a:solidFill>
                <a:schemeClr val="bg2"/>
              </a:solidFill>
              <a:effectLst>
                <a:innerShdw blurRad="63500" dist="50800" dir="13500000">
                  <a:srgbClr val="000000">
                    <a:alpha val="50000"/>
                  </a:srgbClr>
                </a:innerShdw>
              </a:effectLst>
              <a:latin typeface="Bahnschrift Light" panose="020B0502040204020203" pitchFamily="34" charset="0"/>
            </a:rPr>
            <a:t>Days to Deliver📆</a:t>
          </a:r>
        </a:p>
      </xdr:txBody>
    </xdr:sp>
    <xdr:clientData/>
  </xdr:twoCellAnchor>
  <xdr:twoCellAnchor>
    <xdr:from>
      <xdr:col>3</xdr:col>
      <xdr:colOff>476250</xdr:colOff>
      <xdr:row>2</xdr:row>
      <xdr:rowOff>105833</xdr:rowOff>
    </xdr:from>
    <xdr:to>
      <xdr:col>12</xdr:col>
      <xdr:colOff>352778</xdr:colOff>
      <xdr:row>22</xdr:row>
      <xdr:rowOff>96515</xdr:rowOff>
    </xdr:to>
    <xdr:graphicFrame macro="">
      <xdr:nvGraphicFramePr>
        <xdr:cNvPr id="14" name="Chart 13">
          <a:extLst>
            <a:ext uri="{FF2B5EF4-FFF2-40B4-BE49-F238E27FC236}">
              <a16:creationId xmlns:a16="http://schemas.microsoft.com/office/drawing/2014/main" id="{E6BD7AB2-F5E0-4B9F-8DA0-06EF644D2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115454</xdr:colOff>
      <xdr:row>2</xdr:row>
      <xdr:rowOff>57729</xdr:rowOff>
    </xdr:from>
    <xdr:to>
      <xdr:col>22</xdr:col>
      <xdr:colOff>577273</xdr:colOff>
      <xdr:row>22</xdr:row>
      <xdr:rowOff>49922</xdr:rowOff>
    </xdr:to>
    <xdr:sp macro="" textlink="">
      <xdr:nvSpPr>
        <xdr:cNvPr id="18" name="Rectangle 17">
          <a:extLst>
            <a:ext uri="{FF2B5EF4-FFF2-40B4-BE49-F238E27FC236}">
              <a16:creationId xmlns:a16="http://schemas.microsoft.com/office/drawing/2014/main" id="{CFCE3B0F-CF48-3739-C398-7CC02EE19CCB}"/>
            </a:ext>
          </a:extLst>
        </xdr:cNvPr>
        <xdr:cNvSpPr/>
      </xdr:nvSpPr>
      <xdr:spPr>
        <a:xfrm>
          <a:off x="8004848" y="442577"/>
          <a:ext cx="6003637" cy="3840678"/>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242244</xdr:colOff>
      <xdr:row>7</xdr:row>
      <xdr:rowOff>123473</xdr:rowOff>
    </xdr:from>
    <xdr:to>
      <xdr:col>22</xdr:col>
      <xdr:colOff>456883</xdr:colOff>
      <xdr:row>21</xdr:row>
      <xdr:rowOff>44290</xdr:rowOff>
    </xdr:to>
    <xdr:pic>
      <xdr:nvPicPr>
        <xdr:cNvPr id="16" name="Picture 15">
          <a:extLst>
            <a:ext uri="{FF2B5EF4-FFF2-40B4-BE49-F238E27FC236}">
              <a16:creationId xmlns:a16="http://schemas.microsoft.com/office/drawing/2014/main" id="{3865B724-2E33-51F9-2609-5146EB31ED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31638" y="1470443"/>
          <a:ext cx="5756457" cy="2614756"/>
        </a:xfrm>
        <a:prstGeom prst="rect">
          <a:avLst/>
        </a:prstGeom>
        <a:noFill/>
        <a:ln>
          <a:solidFill>
            <a:schemeClr val="bg1"/>
          </a:solidFill>
        </a:ln>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317500</xdr:colOff>
      <xdr:row>2</xdr:row>
      <xdr:rowOff>1</xdr:rowOff>
    </xdr:from>
    <xdr:to>
      <xdr:col>32</xdr:col>
      <xdr:colOff>525247</xdr:colOff>
      <xdr:row>22</xdr:row>
      <xdr:rowOff>78396</xdr:rowOff>
    </xdr:to>
    <xdr:graphicFrame macro="">
      <xdr:nvGraphicFramePr>
        <xdr:cNvPr id="21" name="Chart 20">
          <a:extLst>
            <a:ext uri="{FF2B5EF4-FFF2-40B4-BE49-F238E27FC236}">
              <a16:creationId xmlns:a16="http://schemas.microsoft.com/office/drawing/2014/main" id="{C6FBC69D-1DF7-4F9D-B84A-9C866445D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461818</xdr:colOff>
      <xdr:row>24</xdr:row>
      <xdr:rowOff>173179</xdr:rowOff>
    </xdr:from>
    <xdr:to>
      <xdr:col>12</xdr:col>
      <xdr:colOff>384849</xdr:colOff>
      <xdr:row>53</xdr:row>
      <xdr:rowOff>120952</xdr:rowOff>
    </xdr:to>
    <xdr:graphicFrame macro="">
      <xdr:nvGraphicFramePr>
        <xdr:cNvPr id="22" name="Chart 21">
          <a:extLst>
            <a:ext uri="{FF2B5EF4-FFF2-40B4-BE49-F238E27FC236}">
              <a16:creationId xmlns:a16="http://schemas.microsoft.com/office/drawing/2014/main" id="{47306276-8E45-45D4-ADB3-4BBBFBE84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408057</xdr:colOff>
      <xdr:row>35</xdr:row>
      <xdr:rowOff>120952</xdr:rowOff>
    </xdr:from>
    <xdr:to>
      <xdr:col>10</xdr:col>
      <xdr:colOff>151203</xdr:colOff>
      <xdr:row>51</xdr:row>
      <xdr:rowOff>75594</xdr:rowOff>
    </xdr:to>
    <xdr:graphicFrame macro="">
      <xdr:nvGraphicFramePr>
        <xdr:cNvPr id="23" name="Chart 22">
          <a:extLst>
            <a:ext uri="{FF2B5EF4-FFF2-40B4-BE49-F238E27FC236}">
              <a16:creationId xmlns:a16="http://schemas.microsoft.com/office/drawing/2014/main" id="{56CC43F6-6D4E-440A-AB3E-AED368A9DD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105832</xdr:colOff>
      <xdr:row>24</xdr:row>
      <xdr:rowOff>99219</xdr:rowOff>
    </xdr:from>
    <xdr:to>
      <xdr:col>22</xdr:col>
      <xdr:colOff>544284</xdr:colOff>
      <xdr:row>54</xdr:row>
      <xdr:rowOff>19843</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A77A6266-7F01-4DEB-A0FD-9071F8E810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941732" y="4518819"/>
              <a:ext cx="5924852" cy="54451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574524</xdr:colOff>
      <xdr:row>28</xdr:row>
      <xdr:rowOff>120952</xdr:rowOff>
    </xdr:from>
    <xdr:to>
      <xdr:col>22</xdr:col>
      <xdr:colOff>45357</xdr:colOff>
      <xdr:row>40</xdr:row>
      <xdr:rowOff>151191</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A729E112-8D81-41C4-8201-A58D44CD52D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458424" y="5277152"/>
              <a:ext cx="1909233" cy="224003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287262</xdr:colOff>
      <xdr:row>24</xdr:row>
      <xdr:rowOff>153939</xdr:rowOff>
    </xdr:from>
    <xdr:to>
      <xdr:col>32</xdr:col>
      <xdr:colOff>544285</xdr:colOff>
      <xdr:row>39</xdr:row>
      <xdr:rowOff>10776</xdr:rowOff>
    </xdr:to>
    <xdr:graphicFrame macro="">
      <xdr:nvGraphicFramePr>
        <xdr:cNvPr id="26" name="Chart 25">
          <a:extLst>
            <a:ext uri="{FF2B5EF4-FFF2-40B4-BE49-F238E27FC236}">
              <a16:creationId xmlns:a16="http://schemas.microsoft.com/office/drawing/2014/main" id="{BCB009DC-8F5B-48BD-B25E-413017A4A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287261</xdr:colOff>
      <xdr:row>40</xdr:row>
      <xdr:rowOff>91907</xdr:rowOff>
    </xdr:from>
    <xdr:to>
      <xdr:col>32</xdr:col>
      <xdr:colOff>574524</xdr:colOff>
      <xdr:row>53</xdr:row>
      <xdr:rowOff>102938</xdr:rowOff>
    </xdr:to>
    <xdr:graphicFrame macro="">
      <xdr:nvGraphicFramePr>
        <xdr:cNvPr id="27" name="Chart 26">
          <a:extLst>
            <a:ext uri="{FF2B5EF4-FFF2-40B4-BE49-F238E27FC236}">
              <a16:creationId xmlns:a16="http://schemas.microsoft.com/office/drawing/2014/main" id="{095FA880-B58D-417B-94C4-2DFFF9F0F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89606</xdr:colOff>
      <xdr:row>28</xdr:row>
      <xdr:rowOff>151925</xdr:rowOff>
    </xdr:from>
    <xdr:to>
      <xdr:col>2</xdr:col>
      <xdr:colOff>271037</xdr:colOff>
      <xdr:row>39</xdr:row>
      <xdr:rowOff>87534</xdr:rowOff>
    </xdr:to>
    <mc:AlternateContent xmlns:mc="http://schemas.openxmlformats.org/markup-compatibility/2006" xmlns:a14="http://schemas.microsoft.com/office/drawing/2010/main">
      <mc:Choice Requires="a14">
        <xdr:graphicFrame macro="">
          <xdr:nvGraphicFramePr>
            <xdr:cNvPr id="28" name="Order Mode">
              <a:extLst>
                <a:ext uri="{FF2B5EF4-FFF2-40B4-BE49-F238E27FC236}">
                  <a16:creationId xmlns:a16="http://schemas.microsoft.com/office/drawing/2014/main" id="{6D7EE170-7D9A-47BC-A13B-7A1A7309CBF5}"/>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89606" y="5113785"/>
              <a:ext cx="1599105" cy="18849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48724</xdr:colOff>
      <xdr:row>41</xdr:row>
      <xdr:rowOff>119204</xdr:rowOff>
    </xdr:from>
    <xdr:to>
      <xdr:col>2</xdr:col>
      <xdr:colOff>294269</xdr:colOff>
      <xdr:row>52</xdr:row>
      <xdr:rowOff>38719</xdr:rowOff>
    </xdr:to>
    <mc:AlternateContent xmlns:mc="http://schemas.openxmlformats.org/markup-compatibility/2006" xmlns:a14="http://schemas.microsoft.com/office/drawing/2010/main">
      <mc:Choice Requires="a14">
        <xdr:graphicFrame macro="">
          <xdr:nvGraphicFramePr>
            <xdr:cNvPr id="29" name="Gender Value">
              <a:extLst>
                <a:ext uri="{FF2B5EF4-FFF2-40B4-BE49-F238E27FC236}">
                  <a16:creationId xmlns:a16="http://schemas.microsoft.com/office/drawing/2014/main" id="{652D8ECE-4136-4289-AB1F-2B70A79CE6B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mlns="">
        <xdr:sp macro="" textlink="">
          <xdr:nvSpPr>
            <xdr:cNvPr id="0" name=""/>
            <xdr:cNvSpPr>
              <a:spLocks noTextEdit="1"/>
            </xdr:cNvSpPr>
          </xdr:nvSpPr>
          <xdr:spPr>
            <a:xfrm>
              <a:off x="48724" y="7384785"/>
              <a:ext cx="1663219" cy="1868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29535</xdr:colOff>
      <xdr:row>3</xdr:row>
      <xdr:rowOff>132907</xdr:rowOff>
    </xdr:from>
    <xdr:to>
      <xdr:col>21</xdr:col>
      <xdr:colOff>575930</xdr:colOff>
      <xdr:row>6</xdr:row>
      <xdr:rowOff>0</xdr:rowOff>
    </xdr:to>
    <xdr:sp macro="" textlink="">
      <xdr:nvSpPr>
        <xdr:cNvPr id="30" name="TextBox 29">
          <a:extLst>
            <a:ext uri="{FF2B5EF4-FFF2-40B4-BE49-F238E27FC236}">
              <a16:creationId xmlns:a16="http://schemas.microsoft.com/office/drawing/2014/main" id="{855F812D-2D49-3A8A-5C75-560A75533331}"/>
            </a:ext>
          </a:extLst>
        </xdr:cNvPr>
        <xdr:cNvSpPr txBox="1"/>
      </xdr:nvSpPr>
      <xdr:spPr>
        <a:xfrm>
          <a:off x="8432209" y="664535"/>
          <a:ext cx="4784651" cy="398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How They Like To Buy</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di roshitha" refreshedDate="46091.523989814814" createdVersion="8" refreshedVersion="8" minRefreshableVersion="3" recordCount="2400" xr:uid="{E7F91298-4A15-461B-97A9-CA26375304D2}">
  <cacheSource type="worksheet">
    <worksheetSource name="orders"/>
  </cacheSource>
  <cacheFields count="18">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9816749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A95C11-99C7-4046-AF63-84B8C429B09B}" name="Pivottrend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9:C23"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857613-6BA2-41C4-8556-B2E3AA88D7DE}" name="Pivotqyabtuty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22:F27" firstHeaderRow="1" firstDataRow="1" firstDataCol="1"/>
  <pivotFields count="18">
    <pivotField showAll="0"/>
    <pivotField showAll="0" sortType="descending">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6">
    <chartFormat chart="5"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4" count="1" selected="0">
            <x v="0"/>
          </reference>
        </references>
      </pivotArea>
    </chartFormat>
    <chartFormat chart="19" format="8">
      <pivotArea type="data" outline="0" fieldPosition="0">
        <references count="2">
          <reference field="4294967294" count="1" selected="0">
            <x v="0"/>
          </reference>
          <reference field="14" count="1" selected="0">
            <x v="1"/>
          </reference>
        </references>
      </pivotArea>
    </chartFormat>
    <chartFormat chart="19" format="9">
      <pivotArea type="data" outline="0" fieldPosition="0">
        <references count="2">
          <reference field="4294967294" count="1" selected="0">
            <x v="0"/>
          </reference>
          <reference field="14" count="1" selected="0">
            <x v="2"/>
          </reference>
        </references>
      </pivotArea>
    </chartFormat>
    <chartFormat chart="19" format="10">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475F60-8494-43A9-8DFD-E07E753E58CA}" name="Pivotqty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10:F18"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to 10" sd="0" x="5"/>
        <item sd="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1">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52180B-BB77-414F-BBCA-9D0D67154BD1}" name="Pivot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F82177-7F8A-4A61-A339-1269A2B16B7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6:B52" firstHeaderRow="1" firstDataRow="1"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39BF33-6645-468D-9C26-7313746B63F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38:J43" firstHeaderRow="1" firstDataRow="2" firstDataCol="1"/>
  <pivotFields count="18">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7" format="13" series="1">
      <pivotArea type="data" outline="0" fieldPosition="0">
        <references count="2">
          <reference field="4294967294" count="1" selected="0">
            <x v="0"/>
          </reference>
          <reference field="9" count="1" selected="0">
            <x v="0"/>
          </reference>
        </references>
      </pivotArea>
    </chartFormat>
    <chartFormat chart="17" format="14" series="1">
      <pivotArea type="data" outline="0" fieldPosition="0">
        <references count="2">
          <reference field="4294967294" count="1" selected="0">
            <x v="0"/>
          </reference>
          <reference field="9" count="1" selected="0">
            <x v="1"/>
          </reference>
        </references>
      </pivotArea>
    </chartFormat>
    <chartFormat chart="17" format="15" series="1">
      <pivotArea type="data" outline="0" fieldPosition="0">
        <references count="2">
          <reference field="4294967294" count="1" selected="0">
            <x v="0"/>
          </reference>
          <reference field="9" count="1" selected="0">
            <x v="2"/>
          </reference>
        </references>
      </pivotArea>
    </chartFormat>
    <chartFormat chart="17" format="16" series="1">
      <pivotArea type="data" outline="0" fieldPosition="0">
        <references count="2">
          <reference field="4294967294" count="1" selected="0">
            <x v="0"/>
          </reference>
          <reference field="9" count="1" selected="0">
            <x v="3"/>
          </reference>
        </references>
      </pivotArea>
    </chartFormat>
    <chartFormat chart="17"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420B73-E55A-4918-AA14-BB4F59EEA580}" name="Pivotqyabtu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9:M31"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6">
    <chartFormat chart="5" format="4" series="1">
      <pivotArea type="data" outline="0" fieldPosition="0">
        <references count="1">
          <reference field="4294967294" count="1" selected="0">
            <x v="0"/>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2">
          <reference field="4294967294" count="1" selected="0">
            <x v="0"/>
          </reference>
          <reference field="14" count="1" selected="0">
            <x v="1"/>
          </reference>
        </references>
      </pivotArea>
    </chartFormat>
    <chartFormat chart="14" format="14" series="1">
      <pivotArea type="data" outline="0" fieldPosition="0">
        <references count="2">
          <reference field="4294967294" count="1" selected="0">
            <x v="0"/>
          </reference>
          <reference field="14" count="1" selected="0">
            <x v="2"/>
          </reference>
        </references>
      </pivotArea>
    </chartFormat>
    <chartFormat chart="14" format="15" series="1">
      <pivotArea type="data" outline="0" fieldPosition="0">
        <references count="2">
          <reference field="4294967294" count="1" selected="0">
            <x v="0"/>
          </reference>
          <reference field="14" count="1" selected="0">
            <x v="3"/>
          </reference>
        </references>
      </pivotArea>
    </chartFormat>
    <chartFormat chart="14" format="1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5EBB6C-6682-4192-BF16-AF335453F808}" name="Pivottmap"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P3:S62" firstHeaderRow="0" firstDataRow="1" firstDataCol="2"/>
  <pivotFields count="18">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20">
        <item x="14"/>
        <item x="10"/>
        <item x="12"/>
        <item x="15"/>
        <item x="4"/>
        <item x="7"/>
        <item x="6"/>
        <item x="19"/>
        <item x="18"/>
        <item x="11"/>
        <item x="17"/>
        <item x="5"/>
        <item x="0"/>
        <item x="2"/>
        <item x="9"/>
        <item x="16"/>
        <item x="1"/>
        <item x="13"/>
        <item x="8"/>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s>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7">
        <item x="0"/>
        <item x="1"/>
        <item x="2"/>
        <item x="4"/>
        <item x="3"/>
        <item x="5"/>
        <item x="6"/>
      </items>
      <extLst>
        <ext xmlns:x14="http://schemas.microsoft.com/office/spreadsheetml/2009/9/main" uri="{2946ED86-A175-432a-8AC1-64E0C546D7DE}">
          <x14:pivotField fillDownLabels="1"/>
        </ext>
      </extLst>
    </pivotField>
    <pivotField compact="0" outline="0" subtotalTop="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extLst>
        <ext xmlns:x14="http://schemas.microsoft.com/office/spreadsheetml/2009/9/main" uri="{2946ED86-A175-432a-8AC1-64E0C546D7DE}">
          <x14:pivotField fillDownLabels="1"/>
        </ext>
      </extLst>
    </pivotField>
    <pivotField compact="0" outline="0" subtotalTop="0" showAll="0" defaultSubtotal="0">
      <items count="14">
        <item x="0"/>
        <item x="1"/>
        <item x="2"/>
        <item x="3"/>
        <item x="4"/>
        <item x="5"/>
        <item x="6"/>
        <item x="7"/>
        <item x="8"/>
        <item x="9"/>
        <item x="10"/>
        <item x="11"/>
        <item x="12"/>
        <item x="13"/>
      </items>
      <extLst>
        <ext xmlns:x14="http://schemas.microsoft.com/office/spreadsheetml/2009/9/main" uri="{2946ED86-A175-432a-8AC1-64E0C546D7DE}">
          <x14:pivotField fillDownLabels="1"/>
        </ext>
      </extLst>
    </pivotField>
  </pivotFields>
  <rowFields count="2">
    <field x="10"/>
    <field x="11"/>
  </rowFields>
  <rowItems count="59">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682F75-1DA5-40B9-B382-EACE6C84A509}" name="Pivot matrix"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F3D149D6-6219-4EF4-B0BD-8C61321CDECF}" sourceName="Order Mode">
  <pivotTables>
    <pivotTable tabId="2" name="Pivotqty "/>
    <pivotTable tabId="2" name="Pivotqyabtuty"/>
    <pivotTable tabId="2" name="Pivotqyabtuty gender"/>
    <pivotTable tabId="2" name="Pivotsummary"/>
    <pivotTable tabId="2" name="PivotTable11"/>
    <pivotTable tabId="2" name="Pivottmap"/>
    <pivotTable tabId="2" name="Pivottrends"/>
  </pivotTables>
  <data>
    <tabular pivotCacheId="981674961">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B0F581C-D618-46A3-B939-0FBA633FC27D}" sourceName="Gender Value">
  <pivotTables>
    <pivotTable tabId="2" name="PivotTable12"/>
    <pivotTable tabId="2" name="Pivotqty "/>
    <pivotTable tabId="2" name="Pivotsummary"/>
    <pivotTable tabId="2" name="PivotTable11"/>
    <pivotTable tabId="2" name="Pivottmap"/>
    <pivotTable tabId="2" name="Pivottrends"/>
  </pivotTables>
  <data>
    <tabular pivotCacheId="981674961">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144C6EE6-0789-4FCB-B1A7-E7873B145879}" cache="Slicer_Order_Mode" caption="Order Mode" rowHeight="251883"/>
  <slicer name="Gender Value" xr10:uid="{58D2E5DC-3A74-4AF0-8841-6FE454E54AFE}" cache="Slicer_Gender_Value" caption="Gender Value" rowHeight="32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B371E8-9DAB-408A-9BAF-C716D3BF8C1E}" name="orders" displayName="orders" ref="A1:O2401" totalsRowShown="0">
  <tableColumns count="15">
    <tableColumn id="1" xr3:uid="{892DE9D2-308D-4074-ACD7-A4005ECE8A30}" name="TX ID"/>
    <tableColumn id="2" xr3:uid="{258147F7-1370-4A6B-B60E-9EECFBADF4D1}" name="Product"/>
    <tableColumn id="3" xr3:uid="{19F15C91-38F6-4614-808E-C3A48ADFFCED}" name="Quantity"/>
    <tableColumn id="4" xr3:uid="{26A5A035-A888-4BE6-9990-5243DFA5538A}" name="Unit Price"/>
    <tableColumn id="5" xr3:uid="{A7A9B8B0-35A5-491C-90C8-8BAD5CFEAE5B}" name="Amount"/>
    <tableColumn id="6" xr3:uid="{FF7321E1-AE23-464E-A25C-07938F4B893A}" name="Order Date" dataDxfId="4"/>
    <tableColumn id="7" xr3:uid="{04761FEE-D73E-4FA9-8F3F-2149C742A495}" name="Ship Date" dataDxfId="3"/>
    <tableColumn id="8" xr3:uid="{78E37013-6BB9-4273-8EC0-00B947DBD7E1}" name="Customer Gender"/>
    <tableColumn id="9" xr3:uid="{9A01FFBF-2509-4A15-8FB9-DACCE307E78D}" name="Order Mode"/>
    <tableColumn id="10" xr3:uid="{7EA72143-AE61-47BB-9161-43177796B40F}" name="Rating C"/>
    <tableColumn id="15" xr3:uid="{7C5D34D6-0F23-4E28-9AF2-2E76889C8459}" name="State"/>
    <tableColumn id="14" xr3:uid="{0EC8A182-D7F8-4470-B420-F52788EB65C3}" name="County"/>
    <tableColumn id="11" xr3:uid="{4A7DA2DD-71BB-4EA3-AA09-92F39A6CE1AE}" name="Days to Deliver" dataDxfId="2">
      <calculatedColumnFormula>orders[[#This Row],[Ship Date]]-orders[[#This Row],[Order Date]]</calculatedColumnFormula>
    </tableColumn>
    <tableColumn id="12" xr3:uid="{4263CEFE-6A54-4789-9C86-B9D7B359D772}" name="Weeknum" dataDxfId="1">
      <calculatedColumnFormula>WEEKNUM(orders[[#This Row],[Order Date]])</calculatedColumnFormula>
    </tableColumn>
    <tableColumn id="13" xr3:uid="{4ED255F2-2D85-4294-9B7A-104ED83E0BCE}"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31521B"/>
      </a:accent5>
      <a:accent6>
        <a:srgbClr val="739A28"/>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B6C65-AC12-46E3-93E8-F3CCDAB23A0A}">
  <dimension ref="A2:AB62"/>
  <sheetViews>
    <sheetView zoomScale="50" zoomScaleNormal="69" workbookViewId="0">
      <selection activeCell="AL40" sqref="AL40"/>
    </sheetView>
  </sheetViews>
  <sheetFormatPr defaultRowHeight="14.5" x14ac:dyDescent="0.35"/>
  <cols>
    <col min="1" max="1" width="18.81640625" bestFit="1" customWidth="1"/>
    <col min="2" max="2" width="20.08984375" bestFit="1" customWidth="1"/>
    <col min="3" max="3" width="19.1796875" bestFit="1" customWidth="1"/>
    <col min="4" max="4" width="24.453125" bestFit="1" customWidth="1"/>
    <col min="5" max="5" width="31.7265625" bestFit="1" customWidth="1"/>
    <col min="6" max="6" width="20.08984375" bestFit="1" customWidth="1"/>
    <col min="7" max="7" width="5.36328125" bestFit="1" customWidth="1"/>
    <col min="8" max="8" width="22.6328125" bestFit="1" customWidth="1"/>
    <col min="9" max="9" width="23" bestFit="1" customWidth="1"/>
    <col min="10" max="10" width="6.81640625" bestFit="1" customWidth="1"/>
    <col min="11" max="11" width="7.7265625" bestFit="1" customWidth="1"/>
    <col min="12" max="12" width="11.7265625" bestFit="1" customWidth="1"/>
    <col min="13" max="13" width="15" bestFit="1" customWidth="1"/>
    <col min="16" max="16" width="23.1796875" bestFit="1" customWidth="1"/>
    <col min="17" max="17" width="25" bestFit="1" customWidth="1"/>
    <col min="18" max="18" width="20.08984375" bestFit="1" customWidth="1"/>
    <col min="19" max="19" width="19.1796875" bestFit="1" customWidth="1"/>
    <col min="20" max="20" width="8.7265625" bestFit="1" customWidth="1"/>
    <col min="21" max="21" width="18.08984375" bestFit="1" customWidth="1"/>
    <col min="22" max="22" width="20.26953125" bestFit="1" customWidth="1"/>
    <col min="23" max="23" width="13.90625" bestFit="1" customWidth="1"/>
    <col min="26" max="26" width="8.90625" bestFit="1" customWidth="1"/>
    <col min="27" max="27" width="20.26953125" bestFit="1" customWidth="1"/>
    <col min="28" max="28" width="13.26953125" bestFit="1" customWidth="1"/>
  </cols>
  <sheetData>
    <row r="2" spans="1:28" x14ac:dyDescent="0.35">
      <c r="B2" t="s">
        <v>2530</v>
      </c>
      <c r="U2" t="s">
        <v>2525</v>
      </c>
      <c r="AA2" t="s">
        <v>2525</v>
      </c>
    </row>
    <row r="3" spans="1:28" x14ac:dyDescent="0.35">
      <c r="A3" t="s">
        <v>2505</v>
      </c>
      <c r="B3" t="s">
        <v>2506</v>
      </c>
      <c r="C3" t="s">
        <v>2507</v>
      </c>
      <c r="D3" t="s">
        <v>2508</v>
      </c>
      <c r="E3" t="s">
        <v>2509</v>
      </c>
      <c r="G3" t="s">
        <v>2510</v>
      </c>
      <c r="P3" s="3" t="s">
        <v>2498</v>
      </c>
      <c r="Q3" s="3" t="s">
        <v>2499</v>
      </c>
      <c r="R3" t="s">
        <v>2506</v>
      </c>
      <c r="S3" t="s">
        <v>2507</v>
      </c>
      <c r="U3" s="5" t="str">
        <f>P3</f>
        <v>State</v>
      </c>
      <c r="V3" s="5" t="str">
        <f t="shared" ref="V3:W3" si="0">Q3</f>
        <v>County</v>
      </c>
      <c r="W3" s="5" t="str">
        <f t="shared" si="0"/>
        <v>Sum of Quantity</v>
      </c>
      <c r="Z3" t="str">
        <f>P3</f>
        <v>State</v>
      </c>
      <c r="AA3" t="str">
        <f>Q3</f>
        <v>County</v>
      </c>
      <c r="AB3" t="str">
        <f>S3</f>
        <v>Sum of Amount</v>
      </c>
    </row>
    <row r="4" spans="1:28" x14ac:dyDescent="0.35">
      <c r="A4" s="18">
        <v>2400</v>
      </c>
      <c r="B4" s="18">
        <v>11997</v>
      </c>
      <c r="C4" s="18">
        <v>649019.80000000144</v>
      </c>
      <c r="D4" s="18">
        <v>3.9620833333333332</v>
      </c>
      <c r="E4" s="18">
        <v>2.3424999999999998</v>
      </c>
      <c r="G4" t="s">
        <v>2511</v>
      </c>
      <c r="H4" t="s">
        <v>2512</v>
      </c>
      <c r="I4" t="s">
        <v>2492</v>
      </c>
      <c r="J4" t="s">
        <v>2513</v>
      </c>
      <c r="K4" t="s">
        <v>2514</v>
      </c>
      <c r="P4" t="s">
        <v>4</v>
      </c>
      <c r="Q4" t="s">
        <v>100</v>
      </c>
      <c r="R4" s="18">
        <v>579</v>
      </c>
      <c r="S4" s="18">
        <v>31884.999999999996</v>
      </c>
      <c r="U4" t="str">
        <f>IF(P4="","",P4)</f>
        <v>California</v>
      </c>
      <c r="V4" t="str">
        <f t="shared" ref="V4:W4" si="1">IF(Q4="","",Q4)</f>
        <v>Alameda County</v>
      </c>
      <c r="W4">
        <f t="shared" si="1"/>
        <v>579</v>
      </c>
      <c r="Z4" t="str">
        <f>IF(P4="","",P4)</f>
        <v>California</v>
      </c>
      <c r="AA4" t="str">
        <f t="shared" ref="AA4:AB4" si="2">IF(Q4="","",Q4)</f>
        <v>Alameda County</v>
      </c>
      <c r="AB4">
        <f t="shared" si="2"/>
        <v>579</v>
      </c>
    </row>
    <row r="5" spans="1:28" x14ac:dyDescent="0.35">
      <c r="G5" t="str">
        <f>TEXT(A4,"#,##")</f>
        <v>2,400</v>
      </c>
      <c r="H5" t="str">
        <f t="shared" ref="H5" si="3">TEXT(B4,"#,##")</f>
        <v>11,997</v>
      </c>
      <c r="I5" t="str">
        <f>TEXT(C4,"$#,##,.0k")</f>
        <v>$649.0k</v>
      </c>
      <c r="J5" t="str">
        <f>TEXT(D4,"0.0")</f>
        <v>4.0</v>
      </c>
      <c r="K5" t="str">
        <f>TEXT(E4,"0.0")</f>
        <v>2.3</v>
      </c>
      <c r="P5" t="s">
        <v>4</v>
      </c>
      <c r="Q5" t="s">
        <v>5</v>
      </c>
      <c r="R5" s="18">
        <v>1</v>
      </c>
      <c r="S5" s="18">
        <v>10.9</v>
      </c>
      <c r="U5" t="str">
        <f t="shared" ref="U5:U61" si="4">IF(P5="","",P5)</f>
        <v>California</v>
      </c>
      <c r="V5" t="str">
        <f t="shared" ref="V5:V61" si="5">IF(Q5="","",Q5)</f>
        <v>Alpine County</v>
      </c>
      <c r="W5">
        <f t="shared" ref="W5:W61" si="6">IF(R5="","",R5)</f>
        <v>1</v>
      </c>
      <c r="Z5" t="str">
        <f t="shared" ref="Z5:Z61" si="7">IF(P5="","",P5)</f>
        <v>California</v>
      </c>
      <c r="AA5" t="str">
        <f t="shared" ref="AA5:AA61" si="8">IF(Q5="","",Q5)</f>
        <v>Alpine County</v>
      </c>
      <c r="AB5">
        <f t="shared" ref="AB5:AB61" si="9">IF(R5="","",R5)</f>
        <v>1</v>
      </c>
    </row>
    <row r="6" spans="1:28" x14ac:dyDescent="0.35">
      <c r="P6" t="s">
        <v>4</v>
      </c>
      <c r="Q6" t="s">
        <v>626</v>
      </c>
      <c r="R6" s="18">
        <v>9</v>
      </c>
      <c r="S6" s="18">
        <v>800.3</v>
      </c>
      <c r="U6" t="str">
        <f t="shared" si="4"/>
        <v>California</v>
      </c>
      <c r="V6" t="str">
        <f t="shared" si="5"/>
        <v>Amador County</v>
      </c>
      <c r="W6">
        <f t="shared" si="6"/>
        <v>9</v>
      </c>
      <c r="Z6" t="str">
        <f t="shared" si="7"/>
        <v>California</v>
      </c>
      <c r="AA6" t="str">
        <f t="shared" si="8"/>
        <v>Amador County</v>
      </c>
      <c r="AB6">
        <f t="shared" si="9"/>
        <v>9</v>
      </c>
    </row>
    <row r="7" spans="1:28" x14ac:dyDescent="0.35">
      <c r="A7" s="5" t="s">
        <v>2519</v>
      </c>
      <c r="B7" t="s">
        <v>2531</v>
      </c>
      <c r="P7" t="s">
        <v>4</v>
      </c>
      <c r="Q7" t="s">
        <v>952</v>
      </c>
      <c r="R7" s="18">
        <v>35</v>
      </c>
      <c r="S7" s="18">
        <v>1062.5999999999999</v>
      </c>
      <c r="U7" t="str">
        <f t="shared" si="4"/>
        <v>California</v>
      </c>
      <c r="V7" t="str">
        <f t="shared" si="5"/>
        <v>Butte County</v>
      </c>
      <c r="W7">
        <f t="shared" si="6"/>
        <v>35</v>
      </c>
      <c r="Z7" t="str">
        <f t="shared" si="7"/>
        <v>California</v>
      </c>
      <c r="AA7" t="str">
        <f t="shared" si="8"/>
        <v>Butte County</v>
      </c>
      <c r="AB7">
        <f t="shared" si="9"/>
        <v>35</v>
      </c>
    </row>
    <row r="8" spans="1:28" x14ac:dyDescent="0.35">
      <c r="E8" s="5" t="s">
        <v>2522</v>
      </c>
      <c r="P8" t="s">
        <v>4</v>
      </c>
      <c r="Q8" t="s">
        <v>69</v>
      </c>
      <c r="R8" s="18">
        <v>12</v>
      </c>
      <c r="S8" s="18">
        <v>326.20000000000005</v>
      </c>
      <c r="U8" t="str">
        <f t="shared" si="4"/>
        <v>California</v>
      </c>
      <c r="V8" t="str">
        <f t="shared" si="5"/>
        <v>Calaveras County</v>
      </c>
      <c r="W8">
        <f t="shared" si="6"/>
        <v>12</v>
      </c>
      <c r="Z8" t="str">
        <f t="shared" si="7"/>
        <v>California</v>
      </c>
      <c r="AA8" t="str">
        <f t="shared" si="8"/>
        <v>Calaveras County</v>
      </c>
      <c r="AB8">
        <f t="shared" si="9"/>
        <v>12</v>
      </c>
    </row>
    <row r="9" spans="1:28" x14ac:dyDescent="0.35">
      <c r="A9" s="3" t="s">
        <v>2503</v>
      </c>
      <c r="B9" t="s">
        <v>2506</v>
      </c>
      <c r="C9" t="s">
        <v>2507</v>
      </c>
      <c r="H9" s="3" t="s">
        <v>2506</v>
      </c>
      <c r="I9" s="3" t="s">
        <v>2520</v>
      </c>
      <c r="P9" t="s">
        <v>4</v>
      </c>
      <c r="Q9" t="s">
        <v>1368</v>
      </c>
      <c r="R9" s="18">
        <v>4</v>
      </c>
      <c r="S9" s="18">
        <v>167.5</v>
      </c>
      <c r="U9" t="str">
        <f t="shared" si="4"/>
        <v>California</v>
      </c>
      <c r="V9" t="str">
        <f t="shared" si="5"/>
        <v>Colusa County</v>
      </c>
      <c r="W9">
        <f t="shared" si="6"/>
        <v>4</v>
      </c>
      <c r="Z9" t="str">
        <f t="shared" si="7"/>
        <v>California</v>
      </c>
      <c r="AA9" t="str">
        <f t="shared" si="8"/>
        <v>Colusa County</v>
      </c>
      <c r="AB9">
        <f t="shared" si="9"/>
        <v>4</v>
      </c>
    </row>
    <row r="10" spans="1:28" x14ac:dyDescent="0.35">
      <c r="A10" s="4">
        <v>1</v>
      </c>
      <c r="B10" s="18">
        <v>546</v>
      </c>
      <c r="C10" s="6">
        <v>32413.300000000003</v>
      </c>
      <c r="E10" s="3" t="s">
        <v>2503</v>
      </c>
      <c r="F10" t="s">
        <v>2505</v>
      </c>
      <c r="H10" s="3" t="s">
        <v>2503</v>
      </c>
      <c r="I10" t="s">
        <v>2517</v>
      </c>
      <c r="J10" t="s">
        <v>2516</v>
      </c>
      <c r="K10" t="s">
        <v>2518</v>
      </c>
      <c r="L10" t="s">
        <v>2515</v>
      </c>
      <c r="M10" t="s">
        <v>2504</v>
      </c>
      <c r="P10" t="s">
        <v>4</v>
      </c>
      <c r="Q10" t="s">
        <v>9</v>
      </c>
      <c r="R10" s="18">
        <v>341</v>
      </c>
      <c r="S10" s="18">
        <v>16168.7</v>
      </c>
      <c r="U10" t="str">
        <f t="shared" si="4"/>
        <v>California</v>
      </c>
      <c r="V10" t="str">
        <f t="shared" si="5"/>
        <v>Contra Costa County</v>
      </c>
      <c r="W10">
        <f t="shared" si="6"/>
        <v>341</v>
      </c>
      <c r="Z10" t="str">
        <f t="shared" si="7"/>
        <v>California</v>
      </c>
      <c r="AA10" t="str">
        <f t="shared" si="8"/>
        <v>Contra Costa County</v>
      </c>
      <c r="AB10">
        <f t="shared" si="9"/>
        <v>341</v>
      </c>
    </row>
    <row r="11" spans="1:28" x14ac:dyDescent="0.35">
      <c r="A11" s="4">
        <v>2</v>
      </c>
      <c r="B11" s="18">
        <v>905</v>
      </c>
      <c r="C11" s="6">
        <v>49562.999999999993</v>
      </c>
      <c r="E11" s="4">
        <v>1</v>
      </c>
      <c r="F11" s="18">
        <v>397</v>
      </c>
      <c r="H11" s="4" t="s">
        <v>29</v>
      </c>
      <c r="I11" s="18">
        <v>744</v>
      </c>
      <c r="J11" s="18">
        <v>713</v>
      </c>
      <c r="K11" s="18">
        <v>90</v>
      </c>
      <c r="L11" s="18">
        <v>98</v>
      </c>
      <c r="M11" s="18">
        <v>1645</v>
      </c>
      <c r="P11" t="s">
        <v>4</v>
      </c>
      <c r="Q11" t="s">
        <v>2189</v>
      </c>
      <c r="R11" s="18">
        <v>13</v>
      </c>
      <c r="S11" s="18">
        <v>322.40000000000003</v>
      </c>
      <c r="U11" t="str">
        <f t="shared" si="4"/>
        <v>California</v>
      </c>
      <c r="V11" t="str">
        <f t="shared" si="5"/>
        <v>Del Norte County</v>
      </c>
      <c r="W11">
        <f t="shared" si="6"/>
        <v>13</v>
      </c>
      <c r="Z11" t="str">
        <f t="shared" si="7"/>
        <v>California</v>
      </c>
      <c r="AA11" t="str">
        <f t="shared" si="8"/>
        <v>Del Norte County</v>
      </c>
      <c r="AB11">
        <f t="shared" si="9"/>
        <v>13</v>
      </c>
    </row>
    <row r="12" spans="1:28" x14ac:dyDescent="0.35">
      <c r="A12" s="4">
        <v>3</v>
      </c>
      <c r="B12" s="18">
        <v>796</v>
      </c>
      <c r="C12" s="6">
        <v>41700.400000000016</v>
      </c>
      <c r="E12" s="4">
        <v>2</v>
      </c>
      <c r="F12" s="18">
        <v>540</v>
      </c>
      <c r="H12" s="4" t="s">
        <v>24</v>
      </c>
      <c r="I12" s="18">
        <v>716</v>
      </c>
      <c r="J12" s="18">
        <v>598</v>
      </c>
      <c r="K12" s="18">
        <v>18</v>
      </c>
      <c r="L12" s="18">
        <v>214</v>
      </c>
      <c r="M12" s="18">
        <v>1546</v>
      </c>
      <c r="P12" t="s">
        <v>4</v>
      </c>
      <c r="Q12" t="s">
        <v>422</v>
      </c>
      <c r="R12" s="18">
        <v>31</v>
      </c>
      <c r="S12" s="18">
        <v>2092.8000000000002</v>
      </c>
      <c r="U12" t="str">
        <f t="shared" si="4"/>
        <v>California</v>
      </c>
      <c r="V12" t="str">
        <f t="shared" si="5"/>
        <v>El Dorado County</v>
      </c>
      <c r="W12">
        <f t="shared" si="6"/>
        <v>31</v>
      </c>
      <c r="Z12" t="str">
        <f t="shared" si="7"/>
        <v>California</v>
      </c>
      <c r="AA12" t="str">
        <f t="shared" si="8"/>
        <v>El Dorado County</v>
      </c>
      <c r="AB12">
        <f t="shared" si="9"/>
        <v>31</v>
      </c>
    </row>
    <row r="13" spans="1:28" x14ac:dyDescent="0.35">
      <c r="A13" s="4">
        <v>4</v>
      </c>
      <c r="B13" s="18">
        <v>913</v>
      </c>
      <c r="C13" s="6">
        <v>46782.599999999984</v>
      </c>
      <c r="E13" s="4">
        <v>3</v>
      </c>
      <c r="F13" s="18">
        <v>375</v>
      </c>
      <c r="H13" s="4" t="s">
        <v>11</v>
      </c>
      <c r="I13" s="18">
        <v>627</v>
      </c>
      <c r="J13" s="18">
        <v>393</v>
      </c>
      <c r="K13" s="18">
        <v>29</v>
      </c>
      <c r="L13" s="18">
        <v>137</v>
      </c>
      <c r="M13" s="18">
        <v>1186</v>
      </c>
      <c r="P13" t="s">
        <v>4</v>
      </c>
      <c r="Q13" t="s">
        <v>13</v>
      </c>
      <c r="R13" s="18">
        <v>279</v>
      </c>
      <c r="S13" s="18">
        <v>12662.500000000002</v>
      </c>
      <c r="U13" t="str">
        <f t="shared" si="4"/>
        <v>California</v>
      </c>
      <c r="V13" t="str">
        <f t="shared" si="5"/>
        <v>Fresno County</v>
      </c>
      <c r="W13">
        <f t="shared" si="6"/>
        <v>279</v>
      </c>
      <c r="Z13" t="str">
        <f t="shared" si="7"/>
        <v>California</v>
      </c>
      <c r="AA13" t="str">
        <f t="shared" si="8"/>
        <v>Fresno County</v>
      </c>
      <c r="AB13">
        <f t="shared" si="9"/>
        <v>279</v>
      </c>
    </row>
    <row r="14" spans="1:28" x14ac:dyDescent="0.35">
      <c r="A14" s="4">
        <v>5</v>
      </c>
      <c r="B14" s="18">
        <v>844</v>
      </c>
      <c r="C14" s="6">
        <v>42676.100000000006</v>
      </c>
      <c r="E14" s="4">
        <v>4</v>
      </c>
      <c r="F14" s="18">
        <v>246</v>
      </c>
      <c r="H14" s="4" t="s">
        <v>7</v>
      </c>
      <c r="I14" s="18">
        <v>568</v>
      </c>
      <c r="J14" s="18">
        <v>306</v>
      </c>
      <c r="K14" s="18">
        <v>22</v>
      </c>
      <c r="L14" s="18">
        <v>16</v>
      </c>
      <c r="M14" s="18">
        <v>912</v>
      </c>
      <c r="P14" t="s">
        <v>4</v>
      </c>
      <c r="Q14" t="s">
        <v>193</v>
      </c>
      <c r="R14" s="18">
        <v>9</v>
      </c>
      <c r="S14" s="18">
        <v>343.2</v>
      </c>
      <c r="U14" t="str">
        <f t="shared" si="4"/>
        <v>California</v>
      </c>
      <c r="V14" t="str">
        <f t="shared" si="5"/>
        <v>Glenn County</v>
      </c>
      <c r="W14">
        <f t="shared" si="6"/>
        <v>9</v>
      </c>
      <c r="Z14" t="str">
        <f t="shared" si="7"/>
        <v>California</v>
      </c>
      <c r="AA14" t="str">
        <f t="shared" si="8"/>
        <v>Glenn County</v>
      </c>
      <c r="AB14">
        <f t="shared" si="9"/>
        <v>9</v>
      </c>
    </row>
    <row r="15" spans="1:28" x14ac:dyDescent="0.35">
      <c r="A15" s="4">
        <v>6</v>
      </c>
      <c r="B15" s="18">
        <v>1202</v>
      </c>
      <c r="C15" s="6">
        <v>62910.7</v>
      </c>
      <c r="E15" s="4">
        <v>5</v>
      </c>
      <c r="F15" s="18">
        <v>195</v>
      </c>
      <c r="H15" s="4" t="s">
        <v>39</v>
      </c>
      <c r="I15" s="18">
        <v>482</v>
      </c>
      <c r="J15" s="18">
        <v>295</v>
      </c>
      <c r="K15" s="18">
        <v>8</v>
      </c>
      <c r="L15" s="18">
        <v>22</v>
      </c>
      <c r="M15" s="18">
        <v>807</v>
      </c>
      <c r="P15" t="s">
        <v>4</v>
      </c>
      <c r="Q15" t="s">
        <v>572</v>
      </c>
      <c r="R15" s="18">
        <v>49</v>
      </c>
      <c r="S15" s="18">
        <v>2188.2999999999997</v>
      </c>
      <c r="U15" t="str">
        <f t="shared" si="4"/>
        <v>California</v>
      </c>
      <c r="V15" t="str">
        <f t="shared" si="5"/>
        <v>Humboldt County</v>
      </c>
      <c r="W15">
        <f t="shared" si="6"/>
        <v>49</v>
      </c>
      <c r="Z15" t="str">
        <f t="shared" si="7"/>
        <v>California</v>
      </c>
      <c r="AA15" t="str">
        <f t="shared" si="8"/>
        <v>Humboldt County</v>
      </c>
      <c r="AB15">
        <f t="shared" si="9"/>
        <v>49</v>
      </c>
    </row>
    <row r="16" spans="1:28" x14ac:dyDescent="0.35">
      <c r="A16" s="4">
        <v>7</v>
      </c>
      <c r="B16" s="18">
        <v>935</v>
      </c>
      <c r="C16" s="6">
        <v>50332.200000000004</v>
      </c>
      <c r="E16" s="4" t="s">
        <v>2523</v>
      </c>
      <c r="F16" s="18">
        <v>414</v>
      </c>
      <c r="H16" s="4" t="s">
        <v>1</v>
      </c>
      <c r="I16" s="18">
        <v>428</v>
      </c>
      <c r="J16" s="18">
        <v>293</v>
      </c>
      <c r="K16" s="18"/>
      <c r="L16" s="18">
        <v>24</v>
      </c>
      <c r="M16" s="18">
        <v>745</v>
      </c>
      <c r="P16" t="s">
        <v>4</v>
      </c>
      <c r="Q16" t="s">
        <v>316</v>
      </c>
      <c r="R16" s="18">
        <v>59</v>
      </c>
      <c r="S16" s="18">
        <v>2661.5999999999995</v>
      </c>
      <c r="U16" t="str">
        <f t="shared" si="4"/>
        <v>California</v>
      </c>
      <c r="V16" t="str">
        <f t="shared" si="5"/>
        <v>Imperial County</v>
      </c>
      <c r="W16">
        <f t="shared" si="6"/>
        <v>59</v>
      </c>
      <c r="Z16" t="str">
        <f t="shared" si="7"/>
        <v>California</v>
      </c>
      <c r="AA16" t="str">
        <f t="shared" si="8"/>
        <v>Imperial County</v>
      </c>
      <c r="AB16">
        <f t="shared" si="9"/>
        <v>59</v>
      </c>
    </row>
    <row r="17" spans="1:28" x14ac:dyDescent="0.35">
      <c r="A17" s="4">
        <v>8</v>
      </c>
      <c r="B17" s="18">
        <v>1128</v>
      </c>
      <c r="C17" s="6">
        <v>58760.599999999977</v>
      </c>
      <c r="E17" s="4" t="s">
        <v>2524</v>
      </c>
      <c r="F17" s="18">
        <v>233</v>
      </c>
      <c r="H17" s="4" t="s">
        <v>31</v>
      </c>
      <c r="I17" s="18">
        <v>445</v>
      </c>
      <c r="J17" s="18">
        <v>202</v>
      </c>
      <c r="K17" s="18">
        <v>14</v>
      </c>
      <c r="L17" s="18">
        <v>39</v>
      </c>
      <c r="M17" s="18">
        <v>700</v>
      </c>
      <c r="P17" t="s">
        <v>4</v>
      </c>
      <c r="Q17" t="s">
        <v>71</v>
      </c>
      <c r="R17" s="18">
        <v>8</v>
      </c>
      <c r="S17" s="18">
        <v>887.5</v>
      </c>
      <c r="U17" t="str">
        <f t="shared" si="4"/>
        <v>California</v>
      </c>
      <c r="V17" t="str">
        <f t="shared" si="5"/>
        <v>Inyo County</v>
      </c>
      <c r="W17">
        <f t="shared" si="6"/>
        <v>8</v>
      </c>
      <c r="Z17" t="str">
        <f t="shared" si="7"/>
        <v>California</v>
      </c>
      <c r="AA17" t="str">
        <f t="shared" si="8"/>
        <v>Inyo County</v>
      </c>
      <c r="AB17">
        <f t="shared" si="9"/>
        <v>8</v>
      </c>
    </row>
    <row r="18" spans="1:28" x14ac:dyDescent="0.35">
      <c r="A18" s="4">
        <v>9</v>
      </c>
      <c r="B18" s="18">
        <v>1007</v>
      </c>
      <c r="C18" s="6">
        <v>52017.299999999996</v>
      </c>
      <c r="E18" s="4" t="s">
        <v>2504</v>
      </c>
      <c r="F18" s="18">
        <v>2400</v>
      </c>
      <c r="H18" s="4" t="s">
        <v>17</v>
      </c>
      <c r="I18" s="18">
        <v>431</v>
      </c>
      <c r="J18" s="18">
        <v>187</v>
      </c>
      <c r="K18" s="18">
        <v>14</v>
      </c>
      <c r="L18" s="18">
        <v>15</v>
      </c>
      <c r="M18" s="18">
        <v>647</v>
      </c>
      <c r="P18" t="s">
        <v>4</v>
      </c>
      <c r="Q18" t="s">
        <v>132</v>
      </c>
      <c r="R18" s="18">
        <v>222</v>
      </c>
      <c r="S18" s="18">
        <v>11354.199999999993</v>
      </c>
      <c r="U18" t="str">
        <f t="shared" si="4"/>
        <v>California</v>
      </c>
      <c r="V18" t="str">
        <f t="shared" si="5"/>
        <v>Kern County</v>
      </c>
      <c r="W18">
        <f t="shared" si="6"/>
        <v>222</v>
      </c>
      <c r="Z18" t="str">
        <f t="shared" si="7"/>
        <v>California</v>
      </c>
      <c r="AA18" t="str">
        <f t="shared" si="8"/>
        <v>Kern County</v>
      </c>
      <c r="AB18">
        <f t="shared" si="9"/>
        <v>222</v>
      </c>
    </row>
    <row r="19" spans="1:28" x14ac:dyDescent="0.35">
      <c r="A19" s="4">
        <v>10</v>
      </c>
      <c r="B19" s="18">
        <v>1128</v>
      </c>
      <c r="C19" s="6">
        <v>64915.700000000033</v>
      </c>
      <c r="H19" s="4" t="s">
        <v>27</v>
      </c>
      <c r="I19" s="18">
        <v>264</v>
      </c>
      <c r="J19" s="18">
        <v>318</v>
      </c>
      <c r="K19" s="18">
        <v>15</v>
      </c>
      <c r="L19" s="18">
        <v>9</v>
      </c>
      <c r="M19" s="18">
        <v>606</v>
      </c>
      <c r="P19" t="s">
        <v>4</v>
      </c>
      <c r="Q19" t="s">
        <v>319</v>
      </c>
      <c r="R19" s="18">
        <v>36</v>
      </c>
      <c r="S19" s="18">
        <v>1558.4</v>
      </c>
      <c r="U19" t="str">
        <f t="shared" si="4"/>
        <v>California</v>
      </c>
      <c r="V19" t="str">
        <f t="shared" si="5"/>
        <v>Kings County</v>
      </c>
      <c r="W19">
        <f t="shared" si="6"/>
        <v>36</v>
      </c>
      <c r="Z19" t="str">
        <f t="shared" si="7"/>
        <v>California</v>
      </c>
      <c r="AA19" t="str">
        <f t="shared" si="8"/>
        <v>Kings County</v>
      </c>
      <c r="AB19">
        <f t="shared" si="9"/>
        <v>36</v>
      </c>
    </row>
    <row r="20" spans="1:28" x14ac:dyDescent="0.35">
      <c r="A20" s="4">
        <v>11</v>
      </c>
      <c r="B20" s="18">
        <v>861</v>
      </c>
      <c r="C20" s="6">
        <v>45943.80000000001</v>
      </c>
      <c r="H20" s="4" t="s">
        <v>22</v>
      </c>
      <c r="I20" s="18">
        <v>296</v>
      </c>
      <c r="J20" s="18">
        <v>275</v>
      </c>
      <c r="K20" s="18">
        <v>9</v>
      </c>
      <c r="L20" s="18">
        <v>23</v>
      </c>
      <c r="M20" s="18">
        <v>603</v>
      </c>
      <c r="P20" t="s">
        <v>4</v>
      </c>
      <c r="Q20" t="s">
        <v>934</v>
      </c>
      <c r="R20" s="18">
        <v>30</v>
      </c>
      <c r="S20" s="18">
        <v>2223.9</v>
      </c>
      <c r="U20" t="str">
        <f t="shared" si="4"/>
        <v>California</v>
      </c>
      <c r="V20" t="str">
        <f t="shared" si="5"/>
        <v>Lake County</v>
      </c>
      <c r="W20">
        <f t="shared" si="6"/>
        <v>30</v>
      </c>
      <c r="Z20" t="str">
        <f t="shared" si="7"/>
        <v>California</v>
      </c>
      <c r="AA20" t="str">
        <f t="shared" si="8"/>
        <v>Lake County</v>
      </c>
      <c r="AB20">
        <f t="shared" si="9"/>
        <v>30</v>
      </c>
    </row>
    <row r="21" spans="1:28" x14ac:dyDescent="0.35">
      <c r="A21" s="4">
        <v>12</v>
      </c>
      <c r="B21" s="18">
        <v>944</v>
      </c>
      <c r="C21" s="6">
        <v>55077.900000000031</v>
      </c>
      <c r="H21" s="4" t="s">
        <v>108</v>
      </c>
      <c r="I21" s="18">
        <v>153</v>
      </c>
      <c r="J21" s="18">
        <v>246</v>
      </c>
      <c r="K21" s="18">
        <v>30</v>
      </c>
      <c r="L21" s="18">
        <v>8</v>
      </c>
      <c r="M21" s="18">
        <v>437</v>
      </c>
      <c r="P21" t="s">
        <v>4</v>
      </c>
      <c r="Q21" t="s">
        <v>1411</v>
      </c>
      <c r="R21" s="18">
        <v>1</v>
      </c>
      <c r="S21" s="18">
        <v>26.2</v>
      </c>
      <c r="U21" t="str">
        <f t="shared" si="4"/>
        <v>California</v>
      </c>
      <c r="V21" t="str">
        <f t="shared" si="5"/>
        <v>Lassen County</v>
      </c>
      <c r="W21">
        <f t="shared" si="6"/>
        <v>1</v>
      </c>
      <c r="Z21" t="str">
        <f t="shared" si="7"/>
        <v>California</v>
      </c>
      <c r="AA21" t="str">
        <f t="shared" si="8"/>
        <v>Lassen County</v>
      </c>
      <c r="AB21">
        <f t="shared" si="9"/>
        <v>1</v>
      </c>
    </row>
    <row r="22" spans="1:28" x14ac:dyDescent="0.35">
      <c r="A22" s="4">
        <v>13</v>
      </c>
      <c r="B22" s="18">
        <v>788</v>
      </c>
      <c r="C22" s="6">
        <v>45926.19999999999</v>
      </c>
      <c r="E22" s="3" t="s">
        <v>2503</v>
      </c>
      <c r="F22" t="s">
        <v>2506</v>
      </c>
      <c r="H22" s="4" t="s">
        <v>131</v>
      </c>
      <c r="I22" s="18">
        <v>189</v>
      </c>
      <c r="J22" s="18">
        <v>168</v>
      </c>
      <c r="K22" s="18">
        <v>10</v>
      </c>
      <c r="L22" s="18">
        <v>31</v>
      </c>
      <c r="M22" s="18">
        <v>398</v>
      </c>
      <c r="P22" t="s">
        <v>4</v>
      </c>
      <c r="Q22" t="s">
        <v>18</v>
      </c>
      <c r="R22" s="18">
        <v>3991</v>
      </c>
      <c r="S22" s="18">
        <v>215551.19999999981</v>
      </c>
      <c r="U22" t="str">
        <f t="shared" si="4"/>
        <v>California</v>
      </c>
      <c r="V22" t="str">
        <f t="shared" si="5"/>
        <v>Los Angeles County</v>
      </c>
      <c r="W22">
        <f t="shared" si="6"/>
        <v>3991</v>
      </c>
      <c r="Z22" t="str">
        <f t="shared" si="7"/>
        <v>California</v>
      </c>
      <c r="AA22" t="str">
        <f t="shared" si="8"/>
        <v>Los Angeles County</v>
      </c>
      <c r="AB22">
        <f t="shared" si="9"/>
        <v>3991</v>
      </c>
    </row>
    <row r="23" spans="1:28" x14ac:dyDescent="0.35">
      <c r="A23" s="4" t="s">
        <v>2504</v>
      </c>
      <c r="B23" s="18">
        <v>11997</v>
      </c>
      <c r="C23" s="6">
        <v>649019.79999999993</v>
      </c>
      <c r="E23" s="4" t="s">
        <v>2517</v>
      </c>
      <c r="F23" s="18">
        <v>6272</v>
      </c>
      <c r="H23" s="4" t="s">
        <v>54</v>
      </c>
      <c r="I23" s="18">
        <v>234</v>
      </c>
      <c r="J23" s="18">
        <v>93</v>
      </c>
      <c r="K23" s="18">
        <v>19</v>
      </c>
      <c r="L23" s="18">
        <v>24</v>
      </c>
      <c r="M23" s="18">
        <v>370</v>
      </c>
      <c r="P23" t="s">
        <v>4</v>
      </c>
      <c r="Q23" t="s">
        <v>349</v>
      </c>
      <c r="R23" s="18">
        <v>45</v>
      </c>
      <c r="S23" s="18">
        <v>2687.3999999999996</v>
      </c>
      <c r="U23" t="str">
        <f t="shared" si="4"/>
        <v>California</v>
      </c>
      <c r="V23" t="str">
        <f t="shared" si="5"/>
        <v>Madera County</v>
      </c>
      <c r="W23">
        <f t="shared" si="6"/>
        <v>45</v>
      </c>
      <c r="Z23" t="str">
        <f t="shared" si="7"/>
        <v>California</v>
      </c>
      <c r="AA23" t="str">
        <f t="shared" si="8"/>
        <v>Madera County</v>
      </c>
      <c r="AB23">
        <f t="shared" si="9"/>
        <v>45</v>
      </c>
    </row>
    <row r="24" spans="1:28" x14ac:dyDescent="0.35">
      <c r="E24" s="4" t="s">
        <v>2516</v>
      </c>
      <c r="F24" s="18">
        <v>4672</v>
      </c>
      <c r="H24" s="4" t="s">
        <v>15</v>
      </c>
      <c r="I24" s="18">
        <v>146</v>
      </c>
      <c r="J24" s="18">
        <v>94</v>
      </c>
      <c r="K24" s="18">
        <v>4</v>
      </c>
      <c r="L24" s="18">
        <v>28</v>
      </c>
      <c r="M24" s="18">
        <v>272</v>
      </c>
      <c r="P24" t="s">
        <v>4</v>
      </c>
      <c r="Q24" t="s">
        <v>530</v>
      </c>
      <c r="R24" s="18">
        <v>39</v>
      </c>
      <c r="S24" s="18">
        <v>1463.3000000000002</v>
      </c>
      <c r="U24" t="str">
        <f t="shared" si="4"/>
        <v>California</v>
      </c>
      <c r="V24" t="str">
        <f t="shared" si="5"/>
        <v>Marin County</v>
      </c>
      <c r="W24">
        <f t="shared" si="6"/>
        <v>39</v>
      </c>
      <c r="Z24" t="str">
        <f t="shared" si="7"/>
        <v>California</v>
      </c>
      <c r="AA24" t="str">
        <f t="shared" si="8"/>
        <v>Marin County</v>
      </c>
      <c r="AB24">
        <f t="shared" si="9"/>
        <v>39</v>
      </c>
    </row>
    <row r="25" spans="1:28" x14ac:dyDescent="0.35">
      <c r="E25" s="4" t="s">
        <v>2518</v>
      </c>
      <c r="F25" s="18">
        <v>317</v>
      </c>
      <c r="H25" s="4" t="s">
        <v>120</v>
      </c>
      <c r="I25" s="18">
        <v>127</v>
      </c>
      <c r="J25" s="18">
        <v>118</v>
      </c>
      <c r="K25" s="18">
        <v>13</v>
      </c>
      <c r="L25" s="18">
        <v>12</v>
      </c>
      <c r="M25" s="18">
        <v>270</v>
      </c>
      <c r="P25" t="s">
        <v>4</v>
      </c>
      <c r="Q25" t="s">
        <v>401</v>
      </c>
      <c r="R25" s="18">
        <v>6</v>
      </c>
      <c r="S25" s="18">
        <v>445.79999999999995</v>
      </c>
      <c r="U25" t="str">
        <f t="shared" si="4"/>
        <v>California</v>
      </c>
      <c r="V25" t="str">
        <f t="shared" si="5"/>
        <v>Mariposa County</v>
      </c>
      <c r="W25">
        <f t="shared" si="6"/>
        <v>6</v>
      </c>
      <c r="Z25" t="str">
        <f t="shared" si="7"/>
        <v>California</v>
      </c>
      <c r="AA25" t="str">
        <f t="shared" si="8"/>
        <v>Mariposa County</v>
      </c>
      <c r="AB25">
        <f t="shared" si="9"/>
        <v>6</v>
      </c>
    </row>
    <row r="26" spans="1:28" x14ac:dyDescent="0.35">
      <c r="E26" s="4" t="s">
        <v>2515</v>
      </c>
      <c r="F26" s="18">
        <v>736</v>
      </c>
      <c r="H26" s="4" t="s">
        <v>52</v>
      </c>
      <c r="I26" s="18">
        <v>179</v>
      </c>
      <c r="J26" s="18">
        <v>76</v>
      </c>
      <c r="K26" s="18">
        <v>3</v>
      </c>
      <c r="L26" s="18"/>
      <c r="M26" s="18">
        <v>258</v>
      </c>
      <c r="P26" t="s">
        <v>4</v>
      </c>
      <c r="Q26" t="s">
        <v>243</v>
      </c>
      <c r="R26" s="18">
        <v>9</v>
      </c>
      <c r="S26" s="18">
        <v>273.59999999999997</v>
      </c>
      <c r="U26" t="str">
        <f t="shared" si="4"/>
        <v>California</v>
      </c>
      <c r="V26" t="str">
        <f t="shared" si="5"/>
        <v>Mendocino County</v>
      </c>
      <c r="W26">
        <f t="shared" si="6"/>
        <v>9</v>
      </c>
      <c r="Z26" t="str">
        <f t="shared" si="7"/>
        <v>California</v>
      </c>
      <c r="AA26" t="str">
        <f t="shared" si="8"/>
        <v>Mendocino County</v>
      </c>
      <c r="AB26">
        <f t="shared" si="9"/>
        <v>9</v>
      </c>
    </row>
    <row r="27" spans="1:28" x14ac:dyDescent="0.35">
      <c r="E27" s="4" t="s">
        <v>2504</v>
      </c>
      <c r="F27" s="18">
        <v>11997</v>
      </c>
      <c r="H27" s="4" t="s">
        <v>113</v>
      </c>
      <c r="I27" s="18">
        <v>99</v>
      </c>
      <c r="J27" s="18">
        <v>69</v>
      </c>
      <c r="K27" s="18">
        <v>3</v>
      </c>
      <c r="L27" s="18">
        <v>24</v>
      </c>
      <c r="M27" s="18">
        <v>195</v>
      </c>
      <c r="P27" t="s">
        <v>4</v>
      </c>
      <c r="Q27" t="s">
        <v>171</v>
      </c>
      <c r="R27" s="18">
        <v>60</v>
      </c>
      <c r="S27" s="18">
        <v>2690.4</v>
      </c>
      <c r="U27" t="str">
        <f t="shared" si="4"/>
        <v>California</v>
      </c>
      <c r="V27" t="str">
        <f t="shared" si="5"/>
        <v>Merced County</v>
      </c>
      <c r="W27">
        <f t="shared" si="6"/>
        <v>60</v>
      </c>
      <c r="Z27" t="str">
        <f t="shared" si="7"/>
        <v>California</v>
      </c>
      <c r="AA27" t="str">
        <f t="shared" si="8"/>
        <v>Merced County</v>
      </c>
      <c r="AB27">
        <f t="shared" si="9"/>
        <v>60</v>
      </c>
    </row>
    <row r="28" spans="1:28" x14ac:dyDescent="0.35">
      <c r="H28" s="4" t="s">
        <v>61</v>
      </c>
      <c r="I28" s="18">
        <v>75</v>
      </c>
      <c r="J28" s="18">
        <v>103</v>
      </c>
      <c r="K28" s="18">
        <v>4</v>
      </c>
      <c r="L28" s="18">
        <v>6</v>
      </c>
      <c r="M28" s="18">
        <v>188</v>
      </c>
      <c r="P28" t="s">
        <v>4</v>
      </c>
      <c r="Q28" t="s">
        <v>377</v>
      </c>
      <c r="R28" s="18">
        <v>2</v>
      </c>
      <c r="S28" s="18">
        <v>28.4</v>
      </c>
      <c r="U28" t="str">
        <f t="shared" si="4"/>
        <v>California</v>
      </c>
      <c r="V28" t="str">
        <f t="shared" si="5"/>
        <v>Modoc County</v>
      </c>
      <c r="W28">
        <f t="shared" si="6"/>
        <v>2</v>
      </c>
      <c r="Z28" t="str">
        <f t="shared" si="7"/>
        <v>California</v>
      </c>
      <c r="AA28" t="str">
        <f t="shared" si="8"/>
        <v>Modoc County</v>
      </c>
      <c r="AB28">
        <f t="shared" si="9"/>
        <v>2</v>
      </c>
    </row>
    <row r="29" spans="1:28" x14ac:dyDescent="0.35">
      <c r="H29" s="4" t="s">
        <v>66</v>
      </c>
      <c r="I29" s="18">
        <v>43</v>
      </c>
      <c r="J29" s="18">
        <v>90</v>
      </c>
      <c r="K29" s="18">
        <v>8</v>
      </c>
      <c r="L29" s="18">
        <v>6</v>
      </c>
      <c r="M29" s="18">
        <v>147</v>
      </c>
      <c r="P29" t="s">
        <v>4</v>
      </c>
      <c r="Q29" t="s">
        <v>655</v>
      </c>
      <c r="R29" s="18">
        <v>4</v>
      </c>
      <c r="S29" s="18">
        <v>204.8</v>
      </c>
      <c r="U29" t="str">
        <f t="shared" si="4"/>
        <v>California</v>
      </c>
      <c r="V29" t="str">
        <f t="shared" si="5"/>
        <v>Mono County</v>
      </c>
      <c r="W29">
        <f t="shared" si="6"/>
        <v>4</v>
      </c>
      <c r="Z29" t="str">
        <f t="shared" si="7"/>
        <v>California</v>
      </c>
      <c r="AA29" t="str">
        <f t="shared" si="8"/>
        <v>Mono County</v>
      </c>
      <c r="AB29">
        <f t="shared" si="9"/>
        <v>4</v>
      </c>
    </row>
    <row r="30" spans="1:28" x14ac:dyDescent="0.35">
      <c r="H30" s="4" t="s">
        <v>156</v>
      </c>
      <c r="I30" s="18">
        <v>26</v>
      </c>
      <c r="J30" s="18">
        <v>35</v>
      </c>
      <c r="K30" s="18">
        <v>4</v>
      </c>
      <c r="L30" s="18"/>
      <c r="M30" s="18">
        <v>65</v>
      </c>
      <c r="P30" t="s">
        <v>4</v>
      </c>
      <c r="Q30" t="s">
        <v>787</v>
      </c>
      <c r="R30" s="18">
        <v>31</v>
      </c>
      <c r="S30" s="18">
        <v>1607.8999999999999</v>
      </c>
      <c r="U30" t="str">
        <f t="shared" si="4"/>
        <v>California</v>
      </c>
      <c r="V30" t="str">
        <f t="shared" si="5"/>
        <v>Monterey County</v>
      </c>
      <c r="W30">
        <f t="shared" si="6"/>
        <v>31</v>
      </c>
      <c r="Z30" t="str">
        <f t="shared" si="7"/>
        <v>California</v>
      </c>
      <c r="AA30" t="str">
        <f t="shared" si="8"/>
        <v>Monterey County</v>
      </c>
      <c r="AB30">
        <f t="shared" si="9"/>
        <v>31</v>
      </c>
    </row>
    <row r="31" spans="1:28" x14ac:dyDescent="0.35">
      <c r="H31" s="4" t="s">
        <v>2504</v>
      </c>
      <c r="I31" s="18">
        <v>6272</v>
      </c>
      <c r="J31" s="18">
        <v>4672</v>
      </c>
      <c r="K31" s="18">
        <v>317</v>
      </c>
      <c r="L31" s="18">
        <v>736</v>
      </c>
      <c r="M31" s="18">
        <v>11997</v>
      </c>
      <c r="P31" t="s">
        <v>4</v>
      </c>
      <c r="Q31" t="s">
        <v>83</v>
      </c>
      <c r="R31" s="18">
        <v>88</v>
      </c>
      <c r="S31" s="18">
        <v>6444.9</v>
      </c>
      <c r="U31" t="str">
        <f t="shared" si="4"/>
        <v>California</v>
      </c>
      <c r="V31" t="str">
        <f t="shared" si="5"/>
        <v>Napa County</v>
      </c>
      <c r="W31">
        <f t="shared" si="6"/>
        <v>88</v>
      </c>
      <c r="Z31" t="str">
        <f t="shared" si="7"/>
        <v>California</v>
      </c>
      <c r="AA31" t="str">
        <f t="shared" si="8"/>
        <v>Napa County</v>
      </c>
      <c r="AB31">
        <f t="shared" si="9"/>
        <v>88</v>
      </c>
    </row>
    <row r="32" spans="1:28" x14ac:dyDescent="0.35">
      <c r="P32" t="s">
        <v>4</v>
      </c>
      <c r="Q32" t="s">
        <v>34</v>
      </c>
      <c r="R32" s="18">
        <v>25</v>
      </c>
      <c r="S32" s="18">
        <v>1809.3</v>
      </c>
      <c r="U32" t="str">
        <f t="shared" si="4"/>
        <v>California</v>
      </c>
      <c r="V32" t="str">
        <f t="shared" si="5"/>
        <v>Nevada County</v>
      </c>
      <c r="W32">
        <f t="shared" si="6"/>
        <v>25</v>
      </c>
      <c r="Z32" t="str">
        <f t="shared" si="7"/>
        <v>California</v>
      </c>
      <c r="AA32" t="str">
        <f t="shared" si="8"/>
        <v>Nevada County</v>
      </c>
      <c r="AB32">
        <f t="shared" si="9"/>
        <v>25</v>
      </c>
    </row>
    <row r="33" spans="1:28" x14ac:dyDescent="0.35">
      <c r="P33" t="s">
        <v>4</v>
      </c>
      <c r="Q33" t="s">
        <v>173</v>
      </c>
      <c r="R33" s="18">
        <v>178</v>
      </c>
      <c r="S33" s="18">
        <v>9680.399999999996</v>
      </c>
      <c r="U33" t="str">
        <f t="shared" si="4"/>
        <v>California</v>
      </c>
      <c r="V33" t="str">
        <f t="shared" si="5"/>
        <v>Orange County</v>
      </c>
      <c r="W33">
        <f t="shared" si="6"/>
        <v>178</v>
      </c>
      <c r="Z33" t="str">
        <f t="shared" si="7"/>
        <v>California</v>
      </c>
      <c r="AA33" t="str">
        <f t="shared" si="8"/>
        <v>Orange County</v>
      </c>
      <c r="AB33">
        <f t="shared" si="9"/>
        <v>178</v>
      </c>
    </row>
    <row r="34" spans="1:28" x14ac:dyDescent="0.35">
      <c r="P34" t="s">
        <v>4</v>
      </c>
      <c r="Q34" t="s">
        <v>37</v>
      </c>
      <c r="R34" s="18">
        <v>141</v>
      </c>
      <c r="S34" s="18">
        <v>9414.7999999999993</v>
      </c>
      <c r="U34" t="str">
        <f t="shared" si="4"/>
        <v>California</v>
      </c>
      <c r="V34" t="str">
        <f t="shared" si="5"/>
        <v>Placer County</v>
      </c>
      <c r="W34">
        <f t="shared" si="6"/>
        <v>141</v>
      </c>
      <c r="Z34" t="str">
        <f t="shared" si="7"/>
        <v>California</v>
      </c>
      <c r="AA34" t="str">
        <f t="shared" si="8"/>
        <v>Placer County</v>
      </c>
      <c r="AB34">
        <f t="shared" si="9"/>
        <v>141</v>
      </c>
    </row>
    <row r="35" spans="1:28" x14ac:dyDescent="0.35">
      <c r="P35" t="s">
        <v>4</v>
      </c>
      <c r="Q35" t="s">
        <v>323</v>
      </c>
      <c r="R35" s="18">
        <v>6</v>
      </c>
      <c r="S35" s="18">
        <v>206.1</v>
      </c>
      <c r="U35" t="str">
        <f t="shared" si="4"/>
        <v>California</v>
      </c>
      <c r="V35" t="str">
        <f t="shared" si="5"/>
        <v>Plumas County</v>
      </c>
      <c r="W35">
        <f t="shared" si="6"/>
        <v>6</v>
      </c>
      <c r="Z35" t="str">
        <f t="shared" si="7"/>
        <v>California</v>
      </c>
      <c r="AA35" t="str">
        <f t="shared" si="8"/>
        <v>Plumas County</v>
      </c>
      <c r="AB35">
        <f t="shared" si="9"/>
        <v>6</v>
      </c>
    </row>
    <row r="36" spans="1:28" x14ac:dyDescent="0.35">
      <c r="A36" s="3" t="s">
        <v>2503</v>
      </c>
      <c r="B36" t="s">
        <v>2505</v>
      </c>
      <c r="D36" s="5" t="s">
        <v>2526</v>
      </c>
      <c r="P36" t="s">
        <v>4</v>
      </c>
      <c r="Q36" t="s">
        <v>143</v>
      </c>
      <c r="R36" s="18">
        <v>178</v>
      </c>
      <c r="S36" s="18">
        <v>7691.3</v>
      </c>
      <c r="U36" t="str">
        <f t="shared" si="4"/>
        <v>California</v>
      </c>
      <c r="V36" t="str">
        <f t="shared" si="5"/>
        <v>Riverside County</v>
      </c>
      <c r="W36">
        <f t="shared" si="6"/>
        <v>178</v>
      </c>
      <c r="Z36" t="str">
        <f t="shared" si="7"/>
        <v>California</v>
      </c>
      <c r="AA36" t="str">
        <f t="shared" si="8"/>
        <v>Riverside County</v>
      </c>
      <c r="AB36">
        <f t="shared" si="9"/>
        <v>178</v>
      </c>
    </row>
    <row r="37" spans="1:28" x14ac:dyDescent="0.35">
      <c r="A37" s="4">
        <v>0</v>
      </c>
      <c r="B37" s="18">
        <v>175</v>
      </c>
      <c r="P37" t="s">
        <v>4</v>
      </c>
      <c r="Q37" t="s">
        <v>40</v>
      </c>
      <c r="R37" s="18">
        <v>699</v>
      </c>
      <c r="S37" s="18">
        <v>37784.900000000016</v>
      </c>
      <c r="U37" t="str">
        <f t="shared" si="4"/>
        <v>California</v>
      </c>
      <c r="V37" t="str">
        <f t="shared" si="5"/>
        <v>Sacramento County</v>
      </c>
      <c r="W37">
        <f t="shared" si="6"/>
        <v>699</v>
      </c>
      <c r="Z37" t="str">
        <f t="shared" si="7"/>
        <v>California</v>
      </c>
      <c r="AA37" t="str">
        <f t="shared" si="8"/>
        <v>Sacramento County</v>
      </c>
      <c r="AB37">
        <f t="shared" si="9"/>
        <v>699</v>
      </c>
    </row>
    <row r="38" spans="1:28" x14ac:dyDescent="0.35">
      <c r="A38" s="4">
        <v>1</v>
      </c>
      <c r="B38" s="18">
        <v>888</v>
      </c>
      <c r="D38" s="3" t="s">
        <v>2505</v>
      </c>
      <c r="E38" s="3" t="s">
        <v>2520</v>
      </c>
      <c r="P38" t="s">
        <v>4</v>
      </c>
      <c r="Q38" t="s">
        <v>327</v>
      </c>
      <c r="R38" s="18">
        <v>23</v>
      </c>
      <c r="S38" s="18">
        <v>1129.7</v>
      </c>
      <c r="U38" t="str">
        <f t="shared" si="4"/>
        <v>California</v>
      </c>
      <c r="V38" t="str">
        <f t="shared" si="5"/>
        <v>San Benito County</v>
      </c>
      <c r="W38">
        <f t="shared" si="6"/>
        <v>23</v>
      </c>
      <c r="Z38" t="str">
        <f t="shared" si="7"/>
        <v>California</v>
      </c>
      <c r="AA38" t="str">
        <f t="shared" si="8"/>
        <v>San Benito County</v>
      </c>
      <c r="AB38">
        <f t="shared" si="9"/>
        <v>23</v>
      </c>
    </row>
    <row r="39" spans="1:28" x14ac:dyDescent="0.35">
      <c r="A39" s="4">
        <v>2</v>
      </c>
      <c r="B39" s="18">
        <v>538</v>
      </c>
      <c r="D39" s="3" t="s">
        <v>2503</v>
      </c>
      <c r="E39">
        <v>1</v>
      </c>
      <c r="F39">
        <v>2</v>
      </c>
      <c r="G39">
        <v>3</v>
      </c>
      <c r="H39">
        <v>4</v>
      </c>
      <c r="I39">
        <v>5</v>
      </c>
      <c r="J39" t="s">
        <v>2504</v>
      </c>
      <c r="P39" t="s">
        <v>4</v>
      </c>
      <c r="Q39" t="s">
        <v>44</v>
      </c>
      <c r="R39" s="18">
        <v>356</v>
      </c>
      <c r="S39" s="18">
        <v>20988.9</v>
      </c>
      <c r="U39" t="str">
        <f t="shared" si="4"/>
        <v>California</v>
      </c>
      <c r="V39" t="str">
        <f t="shared" si="5"/>
        <v>San Bernardino County</v>
      </c>
      <c r="W39">
        <f t="shared" si="6"/>
        <v>356</v>
      </c>
      <c r="Z39" t="str">
        <f t="shared" si="7"/>
        <v>California</v>
      </c>
      <c r="AA39" t="str">
        <f t="shared" si="8"/>
        <v>San Bernardino County</v>
      </c>
      <c r="AB39">
        <f t="shared" si="9"/>
        <v>356</v>
      </c>
    </row>
    <row r="40" spans="1:28" x14ac:dyDescent="0.35">
      <c r="A40" s="4">
        <v>3</v>
      </c>
      <c r="B40" s="18">
        <v>344</v>
      </c>
      <c r="D40" s="4" t="s">
        <v>2527</v>
      </c>
      <c r="E40" s="18">
        <v>7</v>
      </c>
      <c r="F40" s="18">
        <v>37</v>
      </c>
      <c r="G40" s="18">
        <v>150</v>
      </c>
      <c r="H40" s="18">
        <v>312</v>
      </c>
      <c r="I40" s="18">
        <v>224</v>
      </c>
      <c r="J40" s="18">
        <v>730</v>
      </c>
      <c r="P40" t="s">
        <v>4</v>
      </c>
      <c r="Q40" t="s">
        <v>47</v>
      </c>
      <c r="R40" s="18">
        <v>1768</v>
      </c>
      <c r="S40" s="18">
        <v>98367.099999999977</v>
      </c>
      <c r="U40" t="str">
        <f t="shared" si="4"/>
        <v>California</v>
      </c>
      <c r="V40" t="str">
        <f t="shared" si="5"/>
        <v>San Diego County</v>
      </c>
      <c r="W40">
        <f t="shared" si="6"/>
        <v>1768</v>
      </c>
      <c r="Z40" t="str">
        <f t="shared" si="7"/>
        <v>California</v>
      </c>
      <c r="AA40" t="str">
        <f t="shared" si="8"/>
        <v>San Diego County</v>
      </c>
      <c r="AB40">
        <f t="shared" si="9"/>
        <v>1768</v>
      </c>
    </row>
    <row r="41" spans="1:28" x14ac:dyDescent="0.35">
      <c r="A41" s="4">
        <v>4</v>
      </c>
      <c r="B41" s="18">
        <v>200</v>
      </c>
      <c r="D41" s="4" t="s">
        <v>2528</v>
      </c>
      <c r="E41" s="18">
        <v>8</v>
      </c>
      <c r="F41" s="18">
        <v>51</v>
      </c>
      <c r="G41" s="18">
        <v>182</v>
      </c>
      <c r="H41" s="18">
        <v>373</v>
      </c>
      <c r="I41" s="18">
        <v>247</v>
      </c>
      <c r="J41" s="18">
        <v>861</v>
      </c>
      <c r="P41" t="s">
        <v>4</v>
      </c>
      <c r="Q41" t="s">
        <v>88</v>
      </c>
      <c r="R41" s="18">
        <v>307</v>
      </c>
      <c r="S41" s="18">
        <v>21911.9</v>
      </c>
      <c r="U41" t="str">
        <f t="shared" si="4"/>
        <v>California</v>
      </c>
      <c r="V41" t="str">
        <f t="shared" si="5"/>
        <v>San Francisco</v>
      </c>
      <c r="W41">
        <f t="shared" si="6"/>
        <v>307</v>
      </c>
      <c r="Z41" t="str">
        <f t="shared" si="7"/>
        <v>California</v>
      </c>
      <c r="AA41" t="str">
        <f t="shared" si="8"/>
        <v>San Francisco</v>
      </c>
      <c r="AB41">
        <f t="shared" si="9"/>
        <v>307</v>
      </c>
    </row>
    <row r="42" spans="1:28" x14ac:dyDescent="0.35">
      <c r="A42" s="4">
        <v>5</v>
      </c>
      <c r="B42" s="18">
        <v>94</v>
      </c>
      <c r="D42" s="4" t="s">
        <v>2529</v>
      </c>
      <c r="E42" s="18">
        <v>6</v>
      </c>
      <c r="F42" s="18">
        <v>39</v>
      </c>
      <c r="G42" s="18">
        <v>163</v>
      </c>
      <c r="H42" s="18">
        <v>351</v>
      </c>
      <c r="I42" s="18">
        <v>250</v>
      </c>
      <c r="J42" s="18">
        <v>809</v>
      </c>
      <c r="P42" t="s">
        <v>4</v>
      </c>
      <c r="Q42" t="s">
        <v>186</v>
      </c>
      <c r="R42" s="18">
        <v>117</v>
      </c>
      <c r="S42" s="18">
        <v>5441.2</v>
      </c>
      <c r="U42" t="str">
        <f t="shared" si="4"/>
        <v>California</v>
      </c>
      <c r="V42" t="str">
        <f t="shared" si="5"/>
        <v>San Joaquin County</v>
      </c>
      <c r="W42">
        <f t="shared" si="6"/>
        <v>117</v>
      </c>
      <c r="Z42" t="str">
        <f t="shared" si="7"/>
        <v>California</v>
      </c>
      <c r="AA42" t="str">
        <f t="shared" si="8"/>
        <v>San Joaquin County</v>
      </c>
      <c r="AB42">
        <f t="shared" si="9"/>
        <v>117</v>
      </c>
    </row>
    <row r="43" spans="1:28" x14ac:dyDescent="0.35">
      <c r="A43" s="4">
        <v>6</v>
      </c>
      <c r="B43" s="18">
        <v>51</v>
      </c>
      <c r="D43" s="4" t="s">
        <v>2504</v>
      </c>
      <c r="E43" s="18">
        <v>21</v>
      </c>
      <c r="F43" s="18">
        <v>127</v>
      </c>
      <c r="G43" s="18">
        <v>495</v>
      </c>
      <c r="H43" s="18">
        <v>1036</v>
      </c>
      <c r="I43" s="18">
        <v>721</v>
      </c>
      <c r="J43" s="18">
        <v>2400</v>
      </c>
      <c r="P43" t="s">
        <v>4</v>
      </c>
      <c r="Q43" t="s">
        <v>414</v>
      </c>
      <c r="R43" s="18">
        <v>13</v>
      </c>
      <c r="S43" s="18">
        <v>392.8</v>
      </c>
      <c r="U43" t="str">
        <f t="shared" si="4"/>
        <v>California</v>
      </c>
      <c r="V43" t="str">
        <f t="shared" si="5"/>
        <v>San Luis Obispo County</v>
      </c>
      <c r="W43">
        <f t="shared" si="6"/>
        <v>13</v>
      </c>
      <c r="Z43" t="str">
        <f t="shared" si="7"/>
        <v>California</v>
      </c>
      <c r="AA43" t="str">
        <f t="shared" si="8"/>
        <v>San Luis Obispo County</v>
      </c>
      <c r="AB43">
        <f t="shared" si="9"/>
        <v>13</v>
      </c>
    </row>
    <row r="44" spans="1:28" x14ac:dyDescent="0.35">
      <c r="A44" s="4">
        <v>7</v>
      </c>
      <c r="B44" s="18">
        <v>32</v>
      </c>
      <c r="P44" t="s">
        <v>4</v>
      </c>
      <c r="Q44" t="s">
        <v>57</v>
      </c>
      <c r="R44" s="18">
        <v>364</v>
      </c>
      <c r="S44" s="18">
        <v>16172.000000000005</v>
      </c>
      <c r="U44" t="str">
        <f t="shared" si="4"/>
        <v>California</v>
      </c>
      <c r="V44" t="str">
        <f t="shared" si="5"/>
        <v>San Mateo County</v>
      </c>
      <c r="W44">
        <f t="shared" si="6"/>
        <v>364</v>
      </c>
      <c r="Z44" t="str">
        <f t="shared" si="7"/>
        <v>California</v>
      </c>
      <c r="AA44" t="str">
        <f t="shared" si="8"/>
        <v>San Mateo County</v>
      </c>
      <c r="AB44">
        <f t="shared" si="9"/>
        <v>364</v>
      </c>
    </row>
    <row r="45" spans="1:28" x14ac:dyDescent="0.35">
      <c r="A45" s="4">
        <v>8</v>
      </c>
      <c r="B45" s="18">
        <v>23</v>
      </c>
      <c r="P45" t="s">
        <v>4</v>
      </c>
      <c r="Q45" t="s">
        <v>59</v>
      </c>
      <c r="R45" s="18">
        <v>95</v>
      </c>
      <c r="S45" s="18">
        <v>4334.9999999999991</v>
      </c>
      <c r="U45" t="str">
        <f t="shared" si="4"/>
        <v>California</v>
      </c>
      <c r="V45" t="str">
        <f t="shared" si="5"/>
        <v>Santa Barbara County</v>
      </c>
      <c r="W45">
        <f t="shared" si="6"/>
        <v>95</v>
      </c>
      <c r="Z45" t="str">
        <f t="shared" si="7"/>
        <v>California</v>
      </c>
      <c r="AA45" t="str">
        <f t="shared" si="8"/>
        <v>Santa Barbara County</v>
      </c>
      <c r="AB45">
        <f t="shared" si="9"/>
        <v>95</v>
      </c>
    </row>
    <row r="46" spans="1:28" x14ac:dyDescent="0.35">
      <c r="A46" s="4">
        <v>9</v>
      </c>
      <c r="B46" s="18">
        <v>9</v>
      </c>
      <c r="P46" t="s">
        <v>4</v>
      </c>
      <c r="Q46" t="s">
        <v>62</v>
      </c>
      <c r="R46" s="18">
        <v>737</v>
      </c>
      <c r="S46" s="18">
        <v>37449.000000000007</v>
      </c>
      <c r="U46" t="str">
        <f t="shared" si="4"/>
        <v>California</v>
      </c>
      <c r="V46" t="str">
        <f t="shared" si="5"/>
        <v>Santa Clara County</v>
      </c>
      <c r="W46">
        <f t="shared" si="6"/>
        <v>737</v>
      </c>
      <c r="Z46" t="str">
        <f t="shared" si="7"/>
        <v>California</v>
      </c>
      <c r="AA46" t="str">
        <f t="shared" si="8"/>
        <v>Santa Clara County</v>
      </c>
      <c r="AB46">
        <f t="shared" si="9"/>
        <v>737</v>
      </c>
    </row>
    <row r="47" spans="1:28" x14ac:dyDescent="0.35">
      <c r="A47" s="4">
        <v>10</v>
      </c>
      <c r="B47" s="18">
        <v>8</v>
      </c>
      <c r="P47" t="s">
        <v>4</v>
      </c>
      <c r="Q47" t="s">
        <v>294</v>
      </c>
      <c r="R47" s="18">
        <v>39</v>
      </c>
      <c r="S47" s="18">
        <v>2447.5</v>
      </c>
      <c r="U47" t="str">
        <f t="shared" si="4"/>
        <v>California</v>
      </c>
      <c r="V47" t="str">
        <f t="shared" si="5"/>
        <v>Santa Cruz County</v>
      </c>
      <c r="W47">
        <f t="shared" si="6"/>
        <v>39</v>
      </c>
      <c r="Z47" t="str">
        <f t="shared" si="7"/>
        <v>California</v>
      </c>
      <c r="AA47" t="str">
        <f t="shared" si="8"/>
        <v>Santa Cruz County</v>
      </c>
      <c r="AB47">
        <f t="shared" si="9"/>
        <v>39</v>
      </c>
    </row>
    <row r="48" spans="1:28" x14ac:dyDescent="0.35">
      <c r="A48" s="4">
        <v>11</v>
      </c>
      <c r="B48" s="18">
        <v>11</v>
      </c>
      <c r="P48" t="s">
        <v>4</v>
      </c>
      <c r="Q48" t="s">
        <v>1101</v>
      </c>
      <c r="R48" s="18">
        <v>56</v>
      </c>
      <c r="S48" s="18">
        <v>3391.1</v>
      </c>
      <c r="U48" t="str">
        <f t="shared" si="4"/>
        <v>California</v>
      </c>
      <c r="V48" t="str">
        <f t="shared" si="5"/>
        <v>Shasta County</v>
      </c>
      <c r="W48">
        <f t="shared" si="6"/>
        <v>56</v>
      </c>
      <c r="Z48" t="str">
        <f t="shared" si="7"/>
        <v>California</v>
      </c>
      <c r="AA48" t="str">
        <f t="shared" si="8"/>
        <v>Shasta County</v>
      </c>
      <c r="AB48">
        <f t="shared" si="9"/>
        <v>56</v>
      </c>
    </row>
    <row r="49" spans="1:28" x14ac:dyDescent="0.35">
      <c r="A49" s="4">
        <v>12</v>
      </c>
      <c r="B49" s="18">
        <v>4</v>
      </c>
      <c r="P49" t="s">
        <v>4</v>
      </c>
      <c r="Q49" t="s">
        <v>685</v>
      </c>
      <c r="R49" s="18">
        <v>2</v>
      </c>
      <c r="S49" s="18">
        <v>30.8</v>
      </c>
      <c r="U49" t="str">
        <f t="shared" si="4"/>
        <v>California</v>
      </c>
      <c r="V49" t="str">
        <f t="shared" si="5"/>
        <v>Sierra County</v>
      </c>
      <c r="W49">
        <f t="shared" si="6"/>
        <v>2</v>
      </c>
      <c r="Z49" t="str">
        <f t="shared" si="7"/>
        <v>California</v>
      </c>
      <c r="AA49" t="str">
        <f t="shared" si="8"/>
        <v>Sierra County</v>
      </c>
      <c r="AB49">
        <f t="shared" si="9"/>
        <v>2</v>
      </c>
    </row>
    <row r="50" spans="1:28" x14ac:dyDescent="0.35">
      <c r="A50" s="4">
        <v>13</v>
      </c>
      <c r="B50" s="18">
        <v>10</v>
      </c>
      <c r="P50" t="s">
        <v>4</v>
      </c>
      <c r="Q50" t="s">
        <v>253</v>
      </c>
      <c r="R50" s="18">
        <v>8</v>
      </c>
      <c r="S50" s="18">
        <v>332.3</v>
      </c>
      <c r="U50" t="str">
        <f t="shared" si="4"/>
        <v>California</v>
      </c>
      <c r="V50" t="str">
        <f t="shared" si="5"/>
        <v>Siskiyou County</v>
      </c>
      <c r="W50">
        <f t="shared" si="6"/>
        <v>8</v>
      </c>
      <c r="Z50" t="str">
        <f t="shared" si="7"/>
        <v>California</v>
      </c>
      <c r="AA50" t="str">
        <f t="shared" si="8"/>
        <v>Siskiyou County</v>
      </c>
      <c r="AB50">
        <f t="shared" si="9"/>
        <v>8</v>
      </c>
    </row>
    <row r="51" spans="1:28" x14ac:dyDescent="0.35">
      <c r="A51" s="4">
        <v>14</v>
      </c>
      <c r="B51" s="18">
        <v>13</v>
      </c>
      <c r="P51" t="s">
        <v>4</v>
      </c>
      <c r="Q51" t="s">
        <v>362</v>
      </c>
      <c r="R51" s="18">
        <v>52</v>
      </c>
      <c r="S51" s="18">
        <v>3175.9999999999995</v>
      </c>
      <c r="U51" t="str">
        <f t="shared" si="4"/>
        <v>California</v>
      </c>
      <c r="V51" t="str">
        <f t="shared" si="5"/>
        <v>Solano County</v>
      </c>
      <c r="W51">
        <f t="shared" si="6"/>
        <v>52</v>
      </c>
      <c r="Z51" t="str">
        <f t="shared" si="7"/>
        <v>California</v>
      </c>
      <c r="AA51" t="str">
        <f t="shared" si="8"/>
        <v>Solano County</v>
      </c>
      <c r="AB51">
        <f t="shared" si="9"/>
        <v>52</v>
      </c>
    </row>
    <row r="52" spans="1:28" x14ac:dyDescent="0.35">
      <c r="A52" s="4" t="s">
        <v>2504</v>
      </c>
      <c r="B52" s="18">
        <v>2400</v>
      </c>
      <c r="P52" t="s">
        <v>4</v>
      </c>
      <c r="Q52" t="s">
        <v>93</v>
      </c>
      <c r="R52" s="18">
        <v>295</v>
      </c>
      <c r="S52" s="18">
        <v>20939.600000000002</v>
      </c>
      <c r="U52" t="str">
        <f t="shared" si="4"/>
        <v>California</v>
      </c>
      <c r="V52" t="str">
        <f t="shared" si="5"/>
        <v>Sonoma County</v>
      </c>
      <c r="W52">
        <f t="shared" si="6"/>
        <v>295</v>
      </c>
      <c r="Z52" t="str">
        <f t="shared" si="7"/>
        <v>California</v>
      </c>
      <c r="AA52" t="str">
        <f t="shared" si="8"/>
        <v>Sonoma County</v>
      </c>
      <c r="AB52">
        <f t="shared" si="9"/>
        <v>295</v>
      </c>
    </row>
    <row r="53" spans="1:28" x14ac:dyDescent="0.35">
      <c r="P53" t="s">
        <v>4</v>
      </c>
      <c r="Q53" t="s">
        <v>95</v>
      </c>
      <c r="R53" s="18">
        <v>195</v>
      </c>
      <c r="S53" s="18">
        <v>10185.899999999996</v>
      </c>
      <c r="U53" t="str">
        <f t="shared" si="4"/>
        <v>California</v>
      </c>
      <c r="V53" t="str">
        <f t="shared" si="5"/>
        <v>Stanislaus County</v>
      </c>
      <c r="W53">
        <f t="shared" si="6"/>
        <v>195</v>
      </c>
      <c r="Z53" t="str">
        <f t="shared" si="7"/>
        <v>California</v>
      </c>
      <c r="AA53" t="str">
        <f t="shared" si="8"/>
        <v>Stanislaus County</v>
      </c>
      <c r="AB53">
        <f t="shared" si="9"/>
        <v>195</v>
      </c>
    </row>
    <row r="54" spans="1:28" x14ac:dyDescent="0.35">
      <c r="P54" t="s">
        <v>4</v>
      </c>
      <c r="Q54" t="s">
        <v>277</v>
      </c>
      <c r="R54" s="18">
        <v>20</v>
      </c>
      <c r="S54" s="18">
        <v>958.7</v>
      </c>
      <c r="U54" t="str">
        <f t="shared" si="4"/>
        <v>California</v>
      </c>
      <c r="V54" t="str">
        <f t="shared" si="5"/>
        <v>Sutter County</v>
      </c>
      <c r="W54">
        <f t="shared" si="6"/>
        <v>20</v>
      </c>
      <c r="Z54" t="str">
        <f t="shared" si="7"/>
        <v>California</v>
      </c>
      <c r="AA54" t="str">
        <f t="shared" si="8"/>
        <v>Sutter County</v>
      </c>
      <c r="AB54">
        <f t="shared" si="9"/>
        <v>20</v>
      </c>
    </row>
    <row r="55" spans="1:28" x14ac:dyDescent="0.35">
      <c r="P55" t="s">
        <v>4</v>
      </c>
      <c r="Q55" t="s">
        <v>64</v>
      </c>
      <c r="R55" s="18">
        <v>6</v>
      </c>
      <c r="S55" s="18">
        <v>323</v>
      </c>
      <c r="U55" t="str">
        <f t="shared" si="4"/>
        <v>California</v>
      </c>
      <c r="V55" t="str">
        <f t="shared" si="5"/>
        <v>Tehama County</v>
      </c>
      <c r="W55">
        <f t="shared" si="6"/>
        <v>6</v>
      </c>
      <c r="Z55" t="str">
        <f t="shared" si="7"/>
        <v>California</v>
      </c>
      <c r="AA55" t="str">
        <f t="shared" si="8"/>
        <v>Tehama County</v>
      </c>
      <c r="AB55">
        <f t="shared" si="9"/>
        <v>6</v>
      </c>
    </row>
    <row r="56" spans="1:28" x14ac:dyDescent="0.35">
      <c r="P56" t="s">
        <v>4</v>
      </c>
      <c r="Q56" t="s">
        <v>593</v>
      </c>
      <c r="R56" s="18">
        <v>5</v>
      </c>
      <c r="S56" s="18">
        <v>167.70000000000002</v>
      </c>
      <c r="U56" t="str">
        <f t="shared" si="4"/>
        <v>California</v>
      </c>
      <c r="V56" t="str">
        <f t="shared" si="5"/>
        <v>Trinity County</v>
      </c>
      <c r="W56">
        <f t="shared" si="6"/>
        <v>5</v>
      </c>
      <c r="Z56" t="str">
        <f t="shared" si="7"/>
        <v>California</v>
      </c>
      <c r="AA56" t="str">
        <f t="shared" si="8"/>
        <v>Trinity County</v>
      </c>
      <c r="AB56">
        <f t="shared" si="9"/>
        <v>5</v>
      </c>
    </row>
    <row r="57" spans="1:28" x14ac:dyDescent="0.35">
      <c r="P57" t="s">
        <v>4</v>
      </c>
      <c r="Q57" t="s">
        <v>98</v>
      </c>
      <c r="R57" s="18">
        <v>94</v>
      </c>
      <c r="S57" s="18">
        <v>3978.5</v>
      </c>
      <c r="U57" t="str">
        <f t="shared" si="4"/>
        <v>California</v>
      </c>
      <c r="V57" t="str">
        <f t="shared" si="5"/>
        <v>Tulare County</v>
      </c>
      <c r="W57">
        <f t="shared" si="6"/>
        <v>94</v>
      </c>
      <c r="Z57" t="str">
        <f t="shared" si="7"/>
        <v>California</v>
      </c>
      <c r="AA57" t="str">
        <f t="shared" si="8"/>
        <v>Tulare County</v>
      </c>
      <c r="AB57">
        <f t="shared" si="9"/>
        <v>94</v>
      </c>
    </row>
    <row r="58" spans="1:28" x14ac:dyDescent="0.35">
      <c r="P58" t="s">
        <v>4</v>
      </c>
      <c r="Q58" t="s">
        <v>982</v>
      </c>
      <c r="R58" s="18">
        <v>28</v>
      </c>
      <c r="S58" s="18">
        <v>1405</v>
      </c>
      <c r="U58" t="str">
        <f t="shared" si="4"/>
        <v>California</v>
      </c>
      <c r="V58" t="str">
        <f t="shared" si="5"/>
        <v>Tuolumne County</v>
      </c>
      <c r="W58">
        <f t="shared" si="6"/>
        <v>28</v>
      </c>
      <c r="Z58" t="str">
        <f t="shared" si="7"/>
        <v>California</v>
      </c>
      <c r="AA58" t="str">
        <f t="shared" si="8"/>
        <v>Tuolumne County</v>
      </c>
      <c r="AB58">
        <f t="shared" si="9"/>
        <v>28</v>
      </c>
    </row>
    <row r="59" spans="1:28" x14ac:dyDescent="0.35">
      <c r="P59" t="s">
        <v>4</v>
      </c>
      <c r="Q59" t="s">
        <v>67</v>
      </c>
      <c r="R59" s="18">
        <v>179</v>
      </c>
      <c r="S59" s="18">
        <v>9869.0999999999985</v>
      </c>
      <c r="U59" t="str">
        <f t="shared" si="4"/>
        <v>California</v>
      </c>
      <c r="V59" t="str">
        <f t="shared" si="5"/>
        <v>Ventura County</v>
      </c>
      <c r="W59">
        <f t="shared" si="6"/>
        <v>179</v>
      </c>
      <c r="Z59" t="str">
        <f t="shared" si="7"/>
        <v>California</v>
      </c>
      <c r="AA59" t="str">
        <f t="shared" si="8"/>
        <v>Ventura County</v>
      </c>
      <c r="AB59">
        <f t="shared" si="9"/>
        <v>179</v>
      </c>
    </row>
    <row r="60" spans="1:28" x14ac:dyDescent="0.35">
      <c r="P60" t="s">
        <v>4</v>
      </c>
      <c r="Q60" t="s">
        <v>228</v>
      </c>
      <c r="R60" s="18">
        <v>15</v>
      </c>
      <c r="S60" s="18">
        <v>615.29999999999995</v>
      </c>
      <c r="U60" t="str">
        <f t="shared" si="4"/>
        <v>California</v>
      </c>
      <c r="V60" t="str">
        <f t="shared" si="5"/>
        <v>Yolo County</v>
      </c>
      <c r="W60">
        <f t="shared" si="6"/>
        <v>15</v>
      </c>
      <c r="Z60" t="str">
        <f t="shared" si="7"/>
        <v>California</v>
      </c>
      <c r="AA60" t="str">
        <f t="shared" si="8"/>
        <v>Yolo County</v>
      </c>
      <c r="AB60">
        <f t="shared" si="9"/>
        <v>15</v>
      </c>
    </row>
    <row r="61" spans="1:28" x14ac:dyDescent="0.35">
      <c r="P61" t="s">
        <v>4</v>
      </c>
      <c r="Q61" t="s">
        <v>1896</v>
      </c>
      <c r="R61" s="18">
        <v>3</v>
      </c>
      <c r="S61" s="18">
        <v>285</v>
      </c>
      <c r="U61" t="str">
        <f t="shared" si="4"/>
        <v>California</v>
      </c>
      <c r="V61" t="str">
        <f t="shared" si="5"/>
        <v>Yuba County</v>
      </c>
      <c r="W61">
        <f t="shared" si="6"/>
        <v>3</v>
      </c>
      <c r="Z61" t="str">
        <f t="shared" si="7"/>
        <v>California</v>
      </c>
      <c r="AA61" t="str">
        <f t="shared" si="8"/>
        <v>Yuba County</v>
      </c>
      <c r="AB61">
        <f t="shared" si="9"/>
        <v>3</v>
      </c>
    </row>
    <row r="62" spans="1:28" x14ac:dyDescent="0.35">
      <c r="P62" t="s">
        <v>2504</v>
      </c>
      <c r="R62" s="18">
        <v>11997</v>
      </c>
      <c r="S62" s="18">
        <v>649019.79999999981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A934F-A6E8-4B70-8B5C-622A1A36FA5E}">
  <dimension ref="A19"/>
  <sheetViews>
    <sheetView tabSelected="1" topLeftCell="A6" zoomScale="57" zoomScaleNormal="43" workbookViewId="0">
      <selection activeCell="AM21" sqref="AM21"/>
    </sheetView>
  </sheetViews>
  <sheetFormatPr defaultRowHeight="14.5" x14ac:dyDescent="0.35"/>
  <cols>
    <col min="1" max="1" width="4.6328125" customWidth="1"/>
    <col min="2" max="2" width="15.54296875" customWidth="1"/>
    <col min="3" max="3" width="4.7265625" customWidth="1"/>
  </cols>
  <sheetData>
    <row r="19"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959AE-1A6A-49BD-9AAF-6FB6B8A6BC5F}">
  <dimension ref="A3:M13"/>
  <sheetViews>
    <sheetView workbookViewId="0">
      <selection activeCell="B16" sqref="B16"/>
    </sheetView>
  </sheetViews>
  <sheetFormatPr defaultRowHeight="14.5" x14ac:dyDescent="0.35"/>
  <cols>
    <col min="1" max="1" width="13.6328125" bestFit="1" customWidth="1"/>
    <col min="2" max="2" width="15.6328125" bestFit="1" customWidth="1"/>
    <col min="3" max="3" width="6.90625" bestFit="1" customWidth="1"/>
    <col min="4" max="4" width="5.90625" bestFit="1" customWidth="1"/>
    <col min="5" max="5" width="8.7265625" bestFit="1" customWidth="1"/>
    <col min="6" max="6" width="10.36328125" bestFit="1" customWidth="1"/>
    <col min="8" max="8" width="10.26953125" bestFit="1" customWidth="1"/>
    <col min="9" max="9" width="7" bestFit="1" customWidth="1"/>
    <col min="10" max="10" width="5.90625" bestFit="1" customWidth="1"/>
    <col min="11" max="11" width="5.453125" bestFit="1" customWidth="1"/>
  </cols>
  <sheetData>
    <row r="3" spans="1:13" x14ac:dyDescent="0.35">
      <c r="A3" s="3" t="s">
        <v>2507</v>
      </c>
      <c r="B3" s="3" t="s">
        <v>2520</v>
      </c>
      <c r="H3" s="5" t="s">
        <v>2521</v>
      </c>
    </row>
    <row r="4" spans="1:13" x14ac:dyDescent="0.35">
      <c r="A4" s="3" t="s">
        <v>2503</v>
      </c>
      <c r="B4" t="s">
        <v>2517</v>
      </c>
      <c r="C4" t="s">
        <v>2516</v>
      </c>
      <c r="D4" t="s">
        <v>2518</v>
      </c>
      <c r="E4" t="s">
        <v>2515</v>
      </c>
      <c r="F4" t="s">
        <v>2504</v>
      </c>
      <c r="H4" s="8"/>
      <c r="I4" s="9" t="str">
        <f>B4</f>
        <v>Female</v>
      </c>
      <c r="J4" s="9" t="str">
        <f t="shared" ref="J4:L4" si="0">C4</f>
        <v>Male</v>
      </c>
      <c r="K4" s="9" t="str">
        <f t="shared" si="0"/>
        <v>Other</v>
      </c>
      <c r="L4" s="10" t="str">
        <f t="shared" si="0"/>
        <v>Unknown</v>
      </c>
    </row>
    <row r="5" spans="1:13" x14ac:dyDescent="0.35">
      <c r="A5" s="4" t="s">
        <v>3</v>
      </c>
      <c r="B5" s="7">
        <v>0.18961825201634841</v>
      </c>
      <c r="C5" s="7">
        <v>0.12262322351336576</v>
      </c>
      <c r="D5" s="7">
        <v>1.060537752469185E-2</v>
      </c>
      <c r="E5" s="7">
        <v>3.0599220547662797E-2</v>
      </c>
      <c r="F5" s="7">
        <v>0.35344607360206881</v>
      </c>
      <c r="H5" s="16" t="str">
        <f>A5</f>
        <v>App</v>
      </c>
      <c r="I5" s="11">
        <f t="shared" ref="I5:L9" si="1">B5</f>
        <v>0.18961825201634841</v>
      </c>
      <c r="J5" s="11">
        <f t="shared" si="1"/>
        <v>0.12262322351336576</v>
      </c>
      <c r="K5" s="11">
        <f t="shared" si="1"/>
        <v>1.060537752469185E-2</v>
      </c>
      <c r="L5" s="12">
        <f t="shared" si="1"/>
        <v>3.0599220547662797E-2</v>
      </c>
      <c r="M5" s="4"/>
    </row>
    <row r="6" spans="1:13" x14ac:dyDescent="0.35">
      <c r="A6" s="4" t="s">
        <v>36</v>
      </c>
      <c r="B6" s="7">
        <v>5.0283982091147303E-2</v>
      </c>
      <c r="C6" s="7">
        <v>4.3060781812819873E-2</v>
      </c>
      <c r="D6" s="7">
        <v>1.5320025675641944E-3</v>
      </c>
      <c r="E6" s="7">
        <v>1.7794988689097006E-2</v>
      </c>
      <c r="F6" s="7">
        <v>0.11267175516062837</v>
      </c>
      <c r="H6" s="16" t="str">
        <f t="shared" ref="H6:H9" si="2">A6</f>
        <v>Instagram</v>
      </c>
      <c r="I6" s="11">
        <f t="shared" si="1"/>
        <v>5.0283982091147303E-2</v>
      </c>
      <c r="J6" s="11">
        <f t="shared" si="1"/>
        <v>4.3060781812819873E-2</v>
      </c>
      <c r="K6" s="11">
        <f t="shared" si="1"/>
        <v>1.5320025675641944E-3</v>
      </c>
      <c r="L6" s="12">
        <f t="shared" si="1"/>
        <v>1.7794988689097006E-2</v>
      </c>
      <c r="M6" s="4"/>
    </row>
    <row r="7" spans="1:13" x14ac:dyDescent="0.35">
      <c r="A7" s="4" t="s">
        <v>55</v>
      </c>
      <c r="B7" s="7">
        <v>6.3496059750411282E-2</v>
      </c>
      <c r="C7" s="7">
        <v>4.6071629863988765E-2</v>
      </c>
      <c r="D7" s="7">
        <v>2.306247051322625E-3</v>
      </c>
      <c r="E7" s="7">
        <v>3.8927934093844286E-3</v>
      </c>
      <c r="F7" s="7">
        <v>0.11576673007510711</v>
      </c>
      <c r="H7" s="16" t="str">
        <f t="shared" si="2"/>
        <v>Partner App</v>
      </c>
      <c r="I7" s="11">
        <f t="shared" si="1"/>
        <v>6.3496059750411282E-2</v>
      </c>
      <c r="J7" s="11">
        <f t="shared" si="1"/>
        <v>4.6071629863988765E-2</v>
      </c>
      <c r="K7" s="11">
        <f t="shared" si="1"/>
        <v>2.306247051322625E-3</v>
      </c>
      <c r="L7" s="12">
        <f t="shared" si="1"/>
        <v>3.8927934093844286E-3</v>
      </c>
      <c r="M7" s="4"/>
    </row>
    <row r="8" spans="1:13" x14ac:dyDescent="0.35">
      <c r="A8" s="4" t="s">
        <v>25</v>
      </c>
      <c r="B8" s="7">
        <v>9.6337892927149532E-2</v>
      </c>
      <c r="C8" s="7">
        <v>6.7920115842382611E-2</v>
      </c>
      <c r="D8" s="7">
        <v>5.4979832664581261E-3</v>
      </c>
      <c r="E8" s="7">
        <v>1.2933041488102518E-2</v>
      </c>
      <c r="F8" s="7">
        <v>0.1826890335240928</v>
      </c>
      <c r="H8" s="16" t="str">
        <f t="shared" si="2"/>
        <v>Target.com</v>
      </c>
      <c r="I8" s="11">
        <f t="shared" si="1"/>
        <v>9.6337892927149532E-2</v>
      </c>
      <c r="J8" s="11">
        <f t="shared" si="1"/>
        <v>6.7920115842382611E-2</v>
      </c>
      <c r="K8" s="11">
        <f t="shared" si="1"/>
        <v>5.4979832664581261E-3</v>
      </c>
      <c r="L8" s="12">
        <f t="shared" si="1"/>
        <v>1.2933041488102518E-2</v>
      </c>
      <c r="M8" s="4"/>
    </row>
    <row r="9" spans="1:13" x14ac:dyDescent="0.35">
      <c r="A9" s="4" t="s">
        <v>20</v>
      </c>
      <c r="B9" s="7">
        <v>0.12522098709469262</v>
      </c>
      <c r="C9" s="7">
        <v>9.1492740283116228E-2</v>
      </c>
      <c r="D9" s="7">
        <v>6.3042760790965081E-3</v>
      </c>
      <c r="E9" s="7">
        <v>1.2408404181197551E-2</v>
      </c>
      <c r="F9" s="7">
        <v>0.23542640763810288</v>
      </c>
      <c r="H9" s="17" t="str">
        <f t="shared" si="2"/>
        <v>Website</v>
      </c>
      <c r="I9" s="13">
        <f t="shared" si="1"/>
        <v>0.12522098709469262</v>
      </c>
      <c r="J9" s="13">
        <f t="shared" si="1"/>
        <v>9.1492740283116228E-2</v>
      </c>
      <c r="K9" s="13">
        <f t="shared" si="1"/>
        <v>6.3042760790965081E-3</v>
      </c>
      <c r="L9" s="14">
        <f t="shared" si="1"/>
        <v>1.2408404181197551E-2</v>
      </c>
      <c r="M9" s="4"/>
    </row>
    <row r="10" spans="1:13" x14ac:dyDescent="0.35">
      <c r="A10" s="4" t="s">
        <v>2504</v>
      </c>
      <c r="B10" s="7">
        <v>0.52495717387974916</v>
      </c>
      <c r="C10" s="7">
        <v>0.3711684913156732</v>
      </c>
      <c r="D10" s="7">
        <v>2.6245886489133303E-2</v>
      </c>
      <c r="E10" s="7">
        <v>7.7628448315444312E-2</v>
      </c>
      <c r="F10" s="7">
        <v>1</v>
      </c>
    </row>
    <row r="11" spans="1:13" ht="15" thickBot="1" x14ac:dyDescent="0.4"/>
    <row r="12" spans="1:13" ht="15.5" thickTop="1" thickBot="1" x14ac:dyDescent="0.4">
      <c r="L12" s="15"/>
    </row>
    <row r="13" spans="1:13" ht="15" thickTop="1" x14ac:dyDescent="0.35"/>
  </sheetData>
  <conditionalFormatting sqref="I5:L9">
    <cfRule type="colorScale" priority="1">
      <colorScale>
        <cfvo type="min"/>
        <cfvo type="percentile" val="50"/>
        <cfvo type="max"/>
        <color rgb="FFF8696B"/>
        <color rgb="FFFCFCFF"/>
        <color rgb="FF5A8AC6"/>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159C7-159B-4D11-A21C-D5C1E103A774}">
  <dimension ref="A1:O2401"/>
  <sheetViews>
    <sheetView topLeftCell="A106" workbookViewId="0">
      <selection activeCell="H9" sqref="H9"/>
    </sheetView>
  </sheetViews>
  <sheetFormatPr defaultRowHeight="14.5" x14ac:dyDescent="0.35"/>
  <cols>
    <col min="2" max="2" width="19.08984375" bestFit="1" customWidth="1"/>
    <col min="3" max="3" width="8.08984375" bestFit="1" customWidth="1"/>
    <col min="4" max="4" width="9.08984375" bestFit="1" customWidth="1"/>
    <col min="5" max="5" width="7.453125" bestFit="1" customWidth="1"/>
    <col min="6" max="6" width="10" bestFit="1" customWidth="1"/>
    <col min="7" max="7" width="9.453125" bestFit="1" customWidth="1"/>
    <col min="8" max="8" width="15.6328125" bestFit="1" customWidth="1"/>
    <col min="9" max="9" width="10.6328125" bestFit="1" customWidth="1"/>
    <col min="10" max="10" width="7.81640625" bestFit="1" customWidth="1"/>
    <col min="11" max="11" width="8.81640625" bestFit="1" customWidth="1"/>
    <col min="12" max="12" width="19.6328125" bestFit="1" customWidth="1"/>
    <col min="13" max="13" width="13.36328125" bestFit="1" customWidth="1"/>
    <col min="14" max="14" width="9.36328125" bestFit="1" customWidth="1"/>
    <col min="15" max="15" width="12.08984375" bestFit="1" customWidth="1"/>
  </cols>
  <sheetData>
    <row r="1" spans="1:15" x14ac:dyDescent="0.35">
      <c r="A1" t="s">
        <v>2488</v>
      </c>
      <c r="B1" t="s">
        <v>2489</v>
      </c>
      <c r="C1" t="s">
        <v>2490</v>
      </c>
      <c r="D1" t="s">
        <v>2491</v>
      </c>
      <c r="E1" t="s">
        <v>2492</v>
      </c>
      <c r="F1" t="s">
        <v>2493</v>
      </c>
      <c r="G1" t="s">
        <v>2494</v>
      </c>
      <c r="H1" t="s">
        <v>2495</v>
      </c>
      <c r="I1" t="s">
        <v>2496</v>
      </c>
      <c r="J1" t="s">
        <v>2497</v>
      </c>
      <c r="K1" t="s">
        <v>2498</v>
      </c>
      <c r="L1" t="s">
        <v>2499</v>
      </c>
      <c r="M1" s="2" t="s">
        <v>2500</v>
      </c>
      <c r="N1" s="2" t="s">
        <v>2501</v>
      </c>
      <c r="O1" s="2" t="s">
        <v>2502</v>
      </c>
    </row>
    <row r="2" spans="1:15" x14ac:dyDescent="0.35">
      <c r="A2" t="s">
        <v>0</v>
      </c>
      <c r="B2" t="s">
        <v>1</v>
      </c>
      <c r="C2">
        <v>1</v>
      </c>
      <c r="D2">
        <v>10.9</v>
      </c>
      <c r="E2">
        <v>10.9</v>
      </c>
      <c r="F2" s="1">
        <v>45658</v>
      </c>
      <c r="G2" s="1">
        <v>45663</v>
      </c>
      <c r="H2" t="s">
        <v>2</v>
      </c>
      <c r="I2" t="s">
        <v>3</v>
      </c>
      <c r="J2">
        <v>4</v>
      </c>
      <c r="K2" t="s">
        <v>4</v>
      </c>
      <c r="L2" t="s">
        <v>5</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5">
      <c r="A3" t="s">
        <v>6</v>
      </c>
      <c r="B3" t="s">
        <v>7</v>
      </c>
      <c r="C3">
        <v>2</v>
      </c>
      <c r="D3">
        <v>30.6</v>
      </c>
      <c r="E3">
        <v>61.2</v>
      </c>
      <c r="F3" s="1">
        <v>45658</v>
      </c>
      <c r="G3" s="1">
        <v>45660</v>
      </c>
      <c r="H3" t="s">
        <v>8</v>
      </c>
      <c r="I3" t="s">
        <v>3</v>
      </c>
      <c r="J3">
        <v>4</v>
      </c>
      <c r="K3" t="s">
        <v>4</v>
      </c>
      <c r="L3" t="s">
        <v>9</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5">
      <c r="A4" t="s">
        <v>10</v>
      </c>
      <c r="B4" t="s">
        <v>11</v>
      </c>
      <c r="C4">
        <v>3</v>
      </c>
      <c r="D4">
        <v>109.4</v>
      </c>
      <c r="E4">
        <v>328.20000000000005</v>
      </c>
      <c r="F4" s="1">
        <v>45658</v>
      </c>
      <c r="G4" s="1">
        <v>45661</v>
      </c>
      <c r="H4" t="s">
        <v>12</v>
      </c>
      <c r="I4" t="s">
        <v>3</v>
      </c>
      <c r="J4">
        <v>3</v>
      </c>
      <c r="K4" t="s">
        <v>4</v>
      </c>
      <c r="L4" t="s">
        <v>13</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5">
      <c r="A5" t="s">
        <v>14</v>
      </c>
      <c r="B5" t="s">
        <v>15</v>
      </c>
      <c r="C5">
        <v>7</v>
      </c>
      <c r="D5">
        <v>37.700000000000003</v>
      </c>
      <c r="E5">
        <v>263.90000000000003</v>
      </c>
      <c r="F5" s="1">
        <v>45658</v>
      </c>
      <c r="G5" s="1">
        <v>45659</v>
      </c>
      <c r="H5" t="s">
        <v>12</v>
      </c>
      <c r="I5" t="s">
        <v>3</v>
      </c>
      <c r="J5">
        <v>4</v>
      </c>
      <c r="K5" t="s">
        <v>4</v>
      </c>
      <c r="L5" t="s">
        <v>13</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5">
      <c r="A6" t="s">
        <v>16</v>
      </c>
      <c r="B6" t="s">
        <v>17</v>
      </c>
      <c r="C6">
        <v>3</v>
      </c>
      <c r="D6">
        <v>56.7</v>
      </c>
      <c r="E6">
        <v>170.10000000000002</v>
      </c>
      <c r="F6" s="1">
        <v>45658</v>
      </c>
      <c r="G6" s="1">
        <v>45661</v>
      </c>
      <c r="H6" t="s">
        <v>12</v>
      </c>
      <c r="I6" t="s">
        <v>3</v>
      </c>
      <c r="J6">
        <v>5</v>
      </c>
      <c r="K6" t="s">
        <v>4</v>
      </c>
      <c r="L6" t="s">
        <v>18</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5">
      <c r="A7" t="s">
        <v>19</v>
      </c>
      <c r="B7" t="s">
        <v>7</v>
      </c>
      <c r="C7">
        <v>12</v>
      </c>
      <c r="D7">
        <v>83.5</v>
      </c>
      <c r="E7">
        <v>1002</v>
      </c>
      <c r="F7" s="1">
        <v>45658</v>
      </c>
      <c r="G7" s="1">
        <v>45661</v>
      </c>
      <c r="H7" t="s">
        <v>8</v>
      </c>
      <c r="I7" t="s">
        <v>20</v>
      </c>
      <c r="J7">
        <v>4</v>
      </c>
      <c r="K7" t="s">
        <v>4</v>
      </c>
      <c r="L7" t="s">
        <v>18</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5">
      <c r="A8" t="s">
        <v>21</v>
      </c>
      <c r="B8" t="s">
        <v>22</v>
      </c>
      <c r="C8">
        <v>1</v>
      </c>
      <c r="D8">
        <v>55.3</v>
      </c>
      <c r="E8">
        <v>55.3</v>
      </c>
      <c r="F8" s="1">
        <v>45658</v>
      </c>
      <c r="G8" s="1">
        <v>45659</v>
      </c>
      <c r="H8" t="s">
        <v>12</v>
      </c>
      <c r="I8" t="s">
        <v>3</v>
      </c>
      <c r="J8">
        <v>4</v>
      </c>
      <c r="K8" t="s">
        <v>4</v>
      </c>
      <c r="L8" t="s">
        <v>18</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5">
      <c r="A9" t="s">
        <v>23</v>
      </c>
      <c r="B9" t="s">
        <v>24</v>
      </c>
      <c r="C9">
        <v>2</v>
      </c>
      <c r="D9">
        <v>40.299999999999997</v>
      </c>
      <c r="E9">
        <v>80.599999999999994</v>
      </c>
      <c r="F9" s="1">
        <v>45658</v>
      </c>
      <c r="G9" s="1">
        <v>45659</v>
      </c>
      <c r="H9" t="s">
        <v>8</v>
      </c>
      <c r="I9" t="s">
        <v>25</v>
      </c>
      <c r="J9">
        <v>5</v>
      </c>
      <c r="K9" t="s">
        <v>4</v>
      </c>
      <c r="L9" t="s">
        <v>18</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5">
      <c r="A10" t="s">
        <v>26</v>
      </c>
      <c r="B10" t="s">
        <v>27</v>
      </c>
      <c r="C10">
        <v>11</v>
      </c>
      <c r="D10">
        <v>35.700000000000003</v>
      </c>
      <c r="E10">
        <v>392.70000000000005</v>
      </c>
      <c r="F10" s="1">
        <v>45658</v>
      </c>
      <c r="G10" s="1">
        <v>45659</v>
      </c>
      <c r="H10" t="s">
        <v>12</v>
      </c>
      <c r="I10" t="s">
        <v>3</v>
      </c>
      <c r="J10">
        <v>4</v>
      </c>
      <c r="K10" t="s">
        <v>4</v>
      </c>
      <c r="L10" t="s">
        <v>18</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5">
      <c r="A11" t="s">
        <v>28</v>
      </c>
      <c r="B11" t="s">
        <v>29</v>
      </c>
      <c r="C11">
        <v>7</v>
      </c>
      <c r="D11">
        <v>22.4</v>
      </c>
      <c r="E11">
        <v>156.79999999999998</v>
      </c>
      <c r="F11" s="1">
        <v>45658</v>
      </c>
      <c r="G11" s="1">
        <v>45661</v>
      </c>
      <c r="H11" t="s">
        <v>8</v>
      </c>
      <c r="I11" t="s">
        <v>3</v>
      </c>
      <c r="J11">
        <v>3</v>
      </c>
      <c r="K11" t="s">
        <v>4</v>
      </c>
      <c r="L11" t="s">
        <v>18</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5">
      <c r="A12" t="s">
        <v>30</v>
      </c>
      <c r="B12" t="s">
        <v>31</v>
      </c>
      <c r="C12">
        <v>2</v>
      </c>
      <c r="D12">
        <v>54.4</v>
      </c>
      <c r="E12">
        <v>108.8</v>
      </c>
      <c r="F12" s="1">
        <v>45658</v>
      </c>
      <c r="G12" s="1">
        <v>45664</v>
      </c>
      <c r="H12" t="s">
        <v>12</v>
      </c>
      <c r="I12" t="s">
        <v>3</v>
      </c>
      <c r="J12">
        <v>4</v>
      </c>
      <c r="K12" t="s">
        <v>4</v>
      </c>
      <c r="L12" t="s">
        <v>18</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5">
      <c r="A13" t="s">
        <v>32</v>
      </c>
      <c r="B13" t="s">
        <v>31</v>
      </c>
      <c r="C13">
        <v>2</v>
      </c>
      <c r="D13">
        <v>49</v>
      </c>
      <c r="E13">
        <v>98</v>
      </c>
      <c r="F13" s="1">
        <v>45658</v>
      </c>
      <c r="G13" s="1">
        <v>45660</v>
      </c>
      <c r="H13" t="s">
        <v>12</v>
      </c>
      <c r="I13" t="s">
        <v>25</v>
      </c>
      <c r="J13">
        <v>3</v>
      </c>
      <c r="K13" t="s">
        <v>4</v>
      </c>
      <c r="L13" t="s">
        <v>18</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5">
      <c r="A14" t="s">
        <v>33</v>
      </c>
      <c r="B14" t="s">
        <v>22</v>
      </c>
      <c r="C14">
        <v>7</v>
      </c>
      <c r="D14">
        <v>118.6</v>
      </c>
      <c r="E14">
        <v>830.19999999999993</v>
      </c>
      <c r="F14" s="1">
        <v>45658</v>
      </c>
      <c r="G14" s="1">
        <v>45662</v>
      </c>
      <c r="H14" t="s">
        <v>12</v>
      </c>
      <c r="I14" t="s">
        <v>20</v>
      </c>
      <c r="J14">
        <v>4</v>
      </c>
      <c r="K14" t="s">
        <v>4</v>
      </c>
      <c r="L14" t="s">
        <v>34</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5">
      <c r="A15" t="s">
        <v>35</v>
      </c>
      <c r="B15" t="s">
        <v>24</v>
      </c>
      <c r="C15">
        <v>27</v>
      </c>
      <c r="D15">
        <v>88.4</v>
      </c>
      <c r="E15">
        <v>2386.8000000000002</v>
      </c>
      <c r="F15" s="1">
        <v>45658</v>
      </c>
      <c r="G15" s="1">
        <v>45665</v>
      </c>
      <c r="H15" t="s">
        <v>8</v>
      </c>
      <c r="I15" t="s">
        <v>36</v>
      </c>
      <c r="J15">
        <v>4</v>
      </c>
      <c r="K15" t="s">
        <v>4</v>
      </c>
      <c r="L15" t="s">
        <v>37</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5">
      <c r="A16" t="s">
        <v>38</v>
      </c>
      <c r="B16" t="s">
        <v>39</v>
      </c>
      <c r="C16">
        <v>1</v>
      </c>
      <c r="D16">
        <v>66.7</v>
      </c>
      <c r="E16">
        <v>66.7</v>
      </c>
      <c r="F16" s="1">
        <v>45658</v>
      </c>
      <c r="G16" s="1">
        <v>45661</v>
      </c>
      <c r="H16" t="s">
        <v>8</v>
      </c>
      <c r="I16" t="s">
        <v>3</v>
      </c>
      <c r="J16">
        <v>4</v>
      </c>
      <c r="K16" t="s">
        <v>4</v>
      </c>
      <c r="L16" t="s">
        <v>40</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5">
      <c r="A17" t="s">
        <v>41</v>
      </c>
      <c r="B17" t="s">
        <v>31</v>
      </c>
      <c r="C17">
        <v>10</v>
      </c>
      <c r="D17">
        <v>30.9</v>
      </c>
      <c r="E17">
        <v>309</v>
      </c>
      <c r="F17" s="1">
        <v>45658</v>
      </c>
      <c r="G17" s="1">
        <v>45659</v>
      </c>
      <c r="H17" t="s">
        <v>8</v>
      </c>
      <c r="I17" t="s">
        <v>20</v>
      </c>
      <c r="J17">
        <v>5</v>
      </c>
      <c r="K17" t="s">
        <v>4</v>
      </c>
      <c r="L17" t="s">
        <v>40</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5">
      <c r="A18" t="s">
        <v>42</v>
      </c>
      <c r="B18" t="s">
        <v>17</v>
      </c>
      <c r="C18">
        <v>3</v>
      </c>
      <c r="D18">
        <v>31.1</v>
      </c>
      <c r="E18">
        <v>93.300000000000011</v>
      </c>
      <c r="F18" s="1">
        <v>45658</v>
      </c>
      <c r="G18" s="1">
        <v>45659</v>
      </c>
      <c r="H18" t="s">
        <v>12</v>
      </c>
      <c r="I18" t="s">
        <v>3</v>
      </c>
      <c r="J18">
        <v>3</v>
      </c>
      <c r="K18" t="s">
        <v>4</v>
      </c>
      <c r="L18" t="s">
        <v>40</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5">
      <c r="A19" t="s">
        <v>43</v>
      </c>
      <c r="B19" t="s">
        <v>27</v>
      </c>
      <c r="C19">
        <v>3</v>
      </c>
      <c r="D19">
        <v>36.6</v>
      </c>
      <c r="E19">
        <v>109.80000000000001</v>
      </c>
      <c r="F19" s="1">
        <v>45658</v>
      </c>
      <c r="G19" s="1">
        <v>45661</v>
      </c>
      <c r="H19" t="s">
        <v>12</v>
      </c>
      <c r="I19" t="s">
        <v>3</v>
      </c>
      <c r="J19">
        <v>4</v>
      </c>
      <c r="K19" t="s">
        <v>4</v>
      </c>
      <c r="L19" t="s">
        <v>44</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5">
      <c r="A20" t="s">
        <v>45</v>
      </c>
      <c r="B20" t="s">
        <v>24</v>
      </c>
      <c r="C20">
        <v>8</v>
      </c>
      <c r="D20">
        <v>51.1</v>
      </c>
      <c r="E20">
        <v>408.8</v>
      </c>
      <c r="F20" s="1">
        <v>45658</v>
      </c>
      <c r="G20" s="1">
        <v>45661</v>
      </c>
      <c r="H20" t="s">
        <v>12</v>
      </c>
      <c r="I20" t="s">
        <v>25</v>
      </c>
      <c r="J20">
        <v>1</v>
      </c>
      <c r="K20" t="s">
        <v>4</v>
      </c>
      <c r="L20" t="s">
        <v>44</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5">
      <c r="A21" t="s">
        <v>46</v>
      </c>
      <c r="B21" t="s">
        <v>31</v>
      </c>
      <c r="C21">
        <v>1</v>
      </c>
      <c r="D21">
        <v>25.2</v>
      </c>
      <c r="E21">
        <v>25.2</v>
      </c>
      <c r="F21" s="1">
        <v>45658</v>
      </c>
      <c r="G21" s="1">
        <v>45659</v>
      </c>
      <c r="H21" t="s">
        <v>12</v>
      </c>
      <c r="I21" t="s">
        <v>20</v>
      </c>
      <c r="J21">
        <v>5</v>
      </c>
      <c r="K21" t="s">
        <v>4</v>
      </c>
      <c r="L21" t="s">
        <v>47</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5">
      <c r="A22" t="s">
        <v>48</v>
      </c>
      <c r="B22" t="s">
        <v>31</v>
      </c>
      <c r="C22">
        <v>5</v>
      </c>
      <c r="D22">
        <v>43.8</v>
      </c>
      <c r="E22">
        <v>219</v>
      </c>
      <c r="F22" s="1">
        <v>45658</v>
      </c>
      <c r="G22" s="1">
        <v>45661</v>
      </c>
      <c r="H22" t="s">
        <v>12</v>
      </c>
      <c r="I22" t="s">
        <v>25</v>
      </c>
      <c r="J22">
        <v>4</v>
      </c>
      <c r="K22" t="s">
        <v>4</v>
      </c>
      <c r="L22" t="s">
        <v>47</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5">
      <c r="A23" t="s">
        <v>49</v>
      </c>
      <c r="B23" t="s">
        <v>29</v>
      </c>
      <c r="C23">
        <v>12</v>
      </c>
      <c r="D23">
        <v>46.7</v>
      </c>
      <c r="E23">
        <v>560.40000000000009</v>
      </c>
      <c r="F23" s="1">
        <v>45658</v>
      </c>
      <c r="G23" s="1">
        <v>45659</v>
      </c>
      <c r="H23" t="s">
        <v>12</v>
      </c>
      <c r="I23" t="s">
        <v>20</v>
      </c>
      <c r="J23">
        <v>3</v>
      </c>
      <c r="K23" t="s">
        <v>4</v>
      </c>
      <c r="L23" t="s">
        <v>47</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5">
      <c r="A24" t="s">
        <v>50</v>
      </c>
      <c r="B24" t="s">
        <v>15</v>
      </c>
      <c r="C24">
        <v>19</v>
      </c>
      <c r="D24">
        <v>79.900000000000006</v>
      </c>
      <c r="E24">
        <v>1518.1000000000001</v>
      </c>
      <c r="F24" s="1">
        <v>45658</v>
      </c>
      <c r="G24" s="1">
        <v>45659</v>
      </c>
      <c r="H24" t="s">
        <v>8</v>
      </c>
      <c r="I24" t="s">
        <v>3</v>
      </c>
      <c r="J24">
        <v>5</v>
      </c>
      <c r="K24" t="s">
        <v>4</v>
      </c>
      <c r="L24" t="s">
        <v>47</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5">
      <c r="A25" t="s">
        <v>51</v>
      </c>
      <c r="B25" t="s">
        <v>52</v>
      </c>
      <c r="C25">
        <v>8</v>
      </c>
      <c r="D25">
        <v>26.4</v>
      </c>
      <c r="E25">
        <v>211.2</v>
      </c>
      <c r="F25" s="1">
        <v>45658</v>
      </c>
      <c r="G25" s="1">
        <v>45659</v>
      </c>
      <c r="H25" t="s">
        <v>12</v>
      </c>
      <c r="I25" t="s">
        <v>36</v>
      </c>
      <c r="J25">
        <v>4</v>
      </c>
      <c r="K25" t="s">
        <v>4</v>
      </c>
      <c r="L25" t="s">
        <v>47</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5">
      <c r="A26" t="s">
        <v>53</v>
      </c>
      <c r="B26" t="s">
        <v>54</v>
      </c>
      <c r="C26">
        <v>8</v>
      </c>
      <c r="D26">
        <v>88.8</v>
      </c>
      <c r="E26">
        <v>710.4</v>
      </c>
      <c r="F26" s="1">
        <v>45658</v>
      </c>
      <c r="G26" s="1">
        <v>45659</v>
      </c>
      <c r="H26" t="s">
        <v>12</v>
      </c>
      <c r="I26" t="s">
        <v>55</v>
      </c>
      <c r="J26">
        <v>4</v>
      </c>
      <c r="K26" t="s">
        <v>4</v>
      </c>
      <c r="L26" t="s">
        <v>47</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5">
      <c r="A27" t="s">
        <v>56</v>
      </c>
      <c r="B27" t="s">
        <v>1</v>
      </c>
      <c r="C27">
        <v>10</v>
      </c>
      <c r="D27">
        <v>17.5</v>
      </c>
      <c r="E27">
        <v>175</v>
      </c>
      <c r="F27" s="1">
        <v>45658</v>
      </c>
      <c r="G27" s="1">
        <v>45659</v>
      </c>
      <c r="H27" t="s">
        <v>12</v>
      </c>
      <c r="I27" t="s">
        <v>25</v>
      </c>
      <c r="J27">
        <v>4</v>
      </c>
      <c r="K27" t="s">
        <v>4</v>
      </c>
      <c r="L27" t="s">
        <v>57</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5">
      <c r="A28" t="s">
        <v>58</v>
      </c>
      <c r="B28" t="s">
        <v>7</v>
      </c>
      <c r="C28">
        <v>9</v>
      </c>
      <c r="D28">
        <v>38.700000000000003</v>
      </c>
      <c r="E28">
        <v>348.3</v>
      </c>
      <c r="F28" s="1">
        <v>45658</v>
      </c>
      <c r="G28" s="1">
        <v>45661</v>
      </c>
      <c r="H28" t="s">
        <v>8</v>
      </c>
      <c r="I28" t="s">
        <v>20</v>
      </c>
      <c r="J28">
        <v>4</v>
      </c>
      <c r="K28" t="s">
        <v>4</v>
      </c>
      <c r="L28" t="s">
        <v>59</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5">
      <c r="A29" t="s">
        <v>60</v>
      </c>
      <c r="B29" t="s">
        <v>61</v>
      </c>
      <c r="C29">
        <v>4</v>
      </c>
      <c r="D29">
        <v>57.2</v>
      </c>
      <c r="E29">
        <v>228.8</v>
      </c>
      <c r="F29" s="1">
        <v>45658</v>
      </c>
      <c r="G29" s="1">
        <v>45660</v>
      </c>
      <c r="H29" t="s">
        <v>2</v>
      </c>
      <c r="I29" t="s">
        <v>20</v>
      </c>
      <c r="J29">
        <v>5</v>
      </c>
      <c r="K29" t="s">
        <v>4</v>
      </c>
      <c r="L29" t="s">
        <v>62</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5">
      <c r="A30" t="s">
        <v>63</v>
      </c>
      <c r="B30" t="s">
        <v>24</v>
      </c>
      <c r="C30">
        <v>5</v>
      </c>
      <c r="D30">
        <v>50.9</v>
      </c>
      <c r="E30">
        <v>254.5</v>
      </c>
      <c r="F30" s="1">
        <v>45658</v>
      </c>
      <c r="G30" s="1">
        <v>45664</v>
      </c>
      <c r="H30" t="s">
        <v>2</v>
      </c>
      <c r="I30" t="s">
        <v>20</v>
      </c>
      <c r="J30">
        <v>5</v>
      </c>
      <c r="K30" t="s">
        <v>4</v>
      </c>
      <c r="L30" t="s">
        <v>64</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5">
      <c r="A31" t="s">
        <v>65</v>
      </c>
      <c r="B31" t="s">
        <v>66</v>
      </c>
      <c r="C31">
        <v>7</v>
      </c>
      <c r="D31">
        <v>41</v>
      </c>
      <c r="E31">
        <v>287</v>
      </c>
      <c r="F31" s="1">
        <v>45658</v>
      </c>
      <c r="G31" s="1">
        <v>45662</v>
      </c>
      <c r="H31" t="s">
        <v>12</v>
      </c>
      <c r="I31" t="s">
        <v>20</v>
      </c>
      <c r="J31">
        <v>4</v>
      </c>
      <c r="K31" t="s">
        <v>4</v>
      </c>
      <c r="L31" t="s">
        <v>67</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5">
      <c r="A32" t="s">
        <v>68</v>
      </c>
      <c r="B32" t="s">
        <v>29</v>
      </c>
      <c r="C32">
        <v>7</v>
      </c>
      <c r="D32">
        <v>19.100000000000001</v>
      </c>
      <c r="E32">
        <v>133.70000000000002</v>
      </c>
      <c r="F32" s="1">
        <v>45658</v>
      </c>
      <c r="G32" s="1">
        <v>45662</v>
      </c>
      <c r="H32" t="s">
        <v>8</v>
      </c>
      <c r="I32" t="s">
        <v>3</v>
      </c>
      <c r="J32">
        <v>5</v>
      </c>
      <c r="K32" t="s">
        <v>4</v>
      </c>
      <c r="L32" t="s">
        <v>69</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5">
      <c r="A33" t="s">
        <v>70</v>
      </c>
      <c r="B33" t="s">
        <v>11</v>
      </c>
      <c r="C33">
        <v>5</v>
      </c>
      <c r="D33">
        <v>166.1</v>
      </c>
      <c r="E33">
        <v>830.5</v>
      </c>
      <c r="F33" s="1">
        <v>45658</v>
      </c>
      <c r="G33" s="1">
        <v>45661</v>
      </c>
      <c r="H33" t="s">
        <v>8</v>
      </c>
      <c r="I33" t="s">
        <v>3</v>
      </c>
      <c r="J33">
        <v>4</v>
      </c>
      <c r="K33" t="s">
        <v>4</v>
      </c>
      <c r="L33" t="s">
        <v>71</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5">
      <c r="A34" t="s">
        <v>72</v>
      </c>
      <c r="B34" t="s">
        <v>17</v>
      </c>
      <c r="C34">
        <v>3</v>
      </c>
      <c r="D34">
        <v>29.9</v>
      </c>
      <c r="E34">
        <v>89.699999999999989</v>
      </c>
      <c r="F34" s="1">
        <v>45658</v>
      </c>
      <c r="G34" s="1">
        <v>45659</v>
      </c>
      <c r="H34" t="s">
        <v>8</v>
      </c>
      <c r="I34" t="s">
        <v>36</v>
      </c>
      <c r="J34">
        <v>4</v>
      </c>
      <c r="K34" t="s">
        <v>4</v>
      </c>
      <c r="L34" t="s">
        <v>18</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5">
      <c r="A35" t="s">
        <v>73</v>
      </c>
      <c r="B35" t="s">
        <v>39</v>
      </c>
      <c r="C35">
        <v>6</v>
      </c>
      <c r="D35">
        <v>21.7</v>
      </c>
      <c r="E35">
        <v>130.19999999999999</v>
      </c>
      <c r="F35" s="1">
        <v>45658</v>
      </c>
      <c r="G35" s="1">
        <v>45660</v>
      </c>
      <c r="H35" t="s">
        <v>74</v>
      </c>
      <c r="I35" t="s">
        <v>25</v>
      </c>
      <c r="J35">
        <v>5</v>
      </c>
      <c r="K35" t="s">
        <v>4</v>
      </c>
      <c r="L35" t="s">
        <v>18</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5">
      <c r="A36" t="s">
        <v>75</v>
      </c>
      <c r="B36" t="s">
        <v>52</v>
      </c>
      <c r="C36">
        <v>2</v>
      </c>
      <c r="D36">
        <v>32</v>
      </c>
      <c r="E36">
        <v>64</v>
      </c>
      <c r="F36" s="1">
        <v>45658</v>
      </c>
      <c r="G36" s="1">
        <v>45661</v>
      </c>
      <c r="H36" t="s">
        <v>8</v>
      </c>
      <c r="I36" t="s">
        <v>3</v>
      </c>
      <c r="J36">
        <v>5</v>
      </c>
      <c r="K36" t="s">
        <v>4</v>
      </c>
      <c r="L36" t="s">
        <v>18</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5">
      <c r="A37" t="s">
        <v>76</v>
      </c>
      <c r="B37" t="s">
        <v>29</v>
      </c>
      <c r="C37">
        <v>2</v>
      </c>
      <c r="D37">
        <v>15.8</v>
      </c>
      <c r="E37">
        <v>31.6</v>
      </c>
      <c r="F37" s="1">
        <v>45658</v>
      </c>
      <c r="G37" s="1">
        <v>45659</v>
      </c>
      <c r="H37" t="s">
        <v>8</v>
      </c>
      <c r="I37" t="s">
        <v>55</v>
      </c>
      <c r="J37">
        <v>5</v>
      </c>
      <c r="K37" t="s">
        <v>4</v>
      </c>
      <c r="L37" t="s">
        <v>18</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5">
      <c r="A38" t="s">
        <v>77</v>
      </c>
      <c r="B38" t="s">
        <v>11</v>
      </c>
      <c r="C38">
        <v>17</v>
      </c>
      <c r="D38">
        <v>203.1</v>
      </c>
      <c r="E38">
        <v>3452.7</v>
      </c>
      <c r="F38" s="1">
        <v>45658</v>
      </c>
      <c r="G38" s="1">
        <v>45662</v>
      </c>
      <c r="H38" t="s">
        <v>8</v>
      </c>
      <c r="I38" t="s">
        <v>36</v>
      </c>
      <c r="J38">
        <v>3</v>
      </c>
      <c r="K38" t="s">
        <v>4</v>
      </c>
      <c r="L38" t="s">
        <v>18</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5">
      <c r="A39" t="s">
        <v>78</v>
      </c>
      <c r="B39" t="s">
        <v>27</v>
      </c>
      <c r="C39">
        <v>13</v>
      </c>
      <c r="D39">
        <v>39</v>
      </c>
      <c r="E39">
        <v>507</v>
      </c>
      <c r="F39" s="1">
        <v>45658</v>
      </c>
      <c r="G39" s="1">
        <v>45664</v>
      </c>
      <c r="H39" t="s">
        <v>8</v>
      </c>
      <c r="I39" t="s">
        <v>3</v>
      </c>
      <c r="J39">
        <v>5</v>
      </c>
      <c r="K39" t="s">
        <v>4</v>
      </c>
      <c r="L39" t="s">
        <v>18</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5">
      <c r="A40" t="s">
        <v>79</v>
      </c>
      <c r="B40" t="s">
        <v>39</v>
      </c>
      <c r="C40">
        <v>1</v>
      </c>
      <c r="D40">
        <v>26.5</v>
      </c>
      <c r="E40">
        <v>26.5</v>
      </c>
      <c r="F40" s="1">
        <v>45659</v>
      </c>
      <c r="G40" s="1">
        <v>45660</v>
      </c>
      <c r="H40" t="s">
        <v>8</v>
      </c>
      <c r="I40" t="s">
        <v>25</v>
      </c>
      <c r="J40">
        <v>4</v>
      </c>
      <c r="K40" t="s">
        <v>4</v>
      </c>
      <c r="L40" t="s">
        <v>18</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5">
      <c r="A41" t="s">
        <v>80</v>
      </c>
      <c r="B41" t="s">
        <v>22</v>
      </c>
      <c r="C41">
        <v>1</v>
      </c>
      <c r="D41">
        <v>43.1</v>
      </c>
      <c r="E41">
        <v>43.1</v>
      </c>
      <c r="F41" s="1">
        <v>45659</v>
      </c>
      <c r="G41" s="1">
        <v>45660</v>
      </c>
      <c r="H41" t="s">
        <v>12</v>
      </c>
      <c r="I41" t="s">
        <v>25</v>
      </c>
      <c r="J41">
        <v>3</v>
      </c>
      <c r="K41" t="s">
        <v>4</v>
      </c>
      <c r="L41" t="s">
        <v>18</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5">
      <c r="A42" t="s">
        <v>81</v>
      </c>
      <c r="B42" t="s">
        <v>7</v>
      </c>
      <c r="C42">
        <v>3</v>
      </c>
      <c r="D42">
        <v>139</v>
      </c>
      <c r="E42">
        <v>417</v>
      </c>
      <c r="F42" s="1">
        <v>45659</v>
      </c>
      <c r="G42" s="1">
        <v>45660</v>
      </c>
      <c r="H42" t="s">
        <v>12</v>
      </c>
      <c r="I42" t="s">
        <v>55</v>
      </c>
      <c r="J42">
        <v>5</v>
      </c>
      <c r="K42" t="s">
        <v>4</v>
      </c>
      <c r="L42" t="s">
        <v>18</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5">
      <c r="A43" t="s">
        <v>82</v>
      </c>
      <c r="B43" t="s">
        <v>54</v>
      </c>
      <c r="C43">
        <v>1</v>
      </c>
      <c r="D43">
        <v>80.7</v>
      </c>
      <c r="E43">
        <v>80.7</v>
      </c>
      <c r="F43" s="1">
        <v>45659</v>
      </c>
      <c r="G43" s="1">
        <v>45660</v>
      </c>
      <c r="H43" t="s">
        <v>8</v>
      </c>
      <c r="I43" t="s">
        <v>3</v>
      </c>
      <c r="J43">
        <v>5</v>
      </c>
      <c r="K43" t="s">
        <v>4</v>
      </c>
      <c r="L43" t="s">
        <v>83</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5">
      <c r="A44" t="s">
        <v>84</v>
      </c>
      <c r="B44" t="s">
        <v>17</v>
      </c>
      <c r="C44">
        <v>2</v>
      </c>
      <c r="D44">
        <v>54.5</v>
      </c>
      <c r="E44">
        <v>109</v>
      </c>
      <c r="F44" s="1">
        <v>45659</v>
      </c>
      <c r="G44" s="1">
        <v>45661</v>
      </c>
      <c r="H44" t="s">
        <v>8</v>
      </c>
      <c r="I44" t="s">
        <v>20</v>
      </c>
      <c r="J44">
        <v>3</v>
      </c>
      <c r="K44" t="s">
        <v>4</v>
      </c>
      <c r="L44" t="s">
        <v>40</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5">
      <c r="A45" t="s">
        <v>85</v>
      </c>
      <c r="B45" t="s">
        <v>24</v>
      </c>
      <c r="C45">
        <v>3</v>
      </c>
      <c r="D45">
        <v>68.599999999999994</v>
      </c>
      <c r="E45">
        <v>205.79999999999998</v>
      </c>
      <c r="F45" s="1">
        <v>45659</v>
      </c>
      <c r="G45" s="1">
        <v>45659</v>
      </c>
      <c r="H45" t="s">
        <v>12</v>
      </c>
      <c r="I45" t="s">
        <v>3</v>
      </c>
      <c r="J45">
        <v>3</v>
      </c>
      <c r="K45" t="s">
        <v>4</v>
      </c>
      <c r="L45" t="s">
        <v>47</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5">
      <c r="A46" t="s">
        <v>86</v>
      </c>
      <c r="B46" t="s">
        <v>11</v>
      </c>
      <c r="C46">
        <v>4</v>
      </c>
      <c r="D46">
        <v>135.9</v>
      </c>
      <c r="E46">
        <v>543.6</v>
      </c>
      <c r="F46" s="1">
        <v>45659</v>
      </c>
      <c r="G46" s="1">
        <v>45660</v>
      </c>
      <c r="H46" t="s">
        <v>12</v>
      </c>
      <c r="I46" t="s">
        <v>25</v>
      </c>
      <c r="J46">
        <v>5</v>
      </c>
      <c r="K46" t="s">
        <v>4</v>
      </c>
      <c r="L46" t="s">
        <v>47</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5">
      <c r="A47" t="s">
        <v>87</v>
      </c>
      <c r="B47" t="s">
        <v>11</v>
      </c>
      <c r="C47">
        <v>4</v>
      </c>
      <c r="D47">
        <v>70.900000000000006</v>
      </c>
      <c r="E47">
        <v>283.60000000000002</v>
      </c>
      <c r="F47" s="1">
        <v>45659</v>
      </c>
      <c r="G47" s="1">
        <v>45660</v>
      </c>
      <c r="H47" t="s">
        <v>12</v>
      </c>
      <c r="I47" t="s">
        <v>3</v>
      </c>
      <c r="J47">
        <v>4</v>
      </c>
      <c r="K47" t="s">
        <v>4</v>
      </c>
      <c r="L47" t="s">
        <v>88</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5">
      <c r="A48" t="s">
        <v>89</v>
      </c>
      <c r="B48" t="s">
        <v>7</v>
      </c>
      <c r="C48">
        <v>5</v>
      </c>
      <c r="D48">
        <v>63.7</v>
      </c>
      <c r="E48">
        <v>318.5</v>
      </c>
      <c r="F48" s="1">
        <v>45659</v>
      </c>
      <c r="G48" s="1">
        <v>45660</v>
      </c>
      <c r="H48" t="s">
        <v>8</v>
      </c>
      <c r="I48" t="s">
        <v>20</v>
      </c>
      <c r="J48">
        <v>3</v>
      </c>
      <c r="K48" t="s">
        <v>4</v>
      </c>
      <c r="L48" t="s">
        <v>57</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5">
      <c r="A49" t="s">
        <v>90</v>
      </c>
      <c r="B49" t="s">
        <v>61</v>
      </c>
      <c r="C49">
        <v>1</v>
      </c>
      <c r="D49">
        <v>29.7</v>
      </c>
      <c r="E49">
        <v>29.7</v>
      </c>
      <c r="F49" s="1">
        <v>45659</v>
      </c>
      <c r="G49" s="1">
        <v>45661</v>
      </c>
      <c r="H49" t="s">
        <v>12</v>
      </c>
      <c r="I49" t="s">
        <v>20</v>
      </c>
      <c r="J49">
        <v>4</v>
      </c>
      <c r="K49" t="s">
        <v>4</v>
      </c>
      <c r="L49" t="s">
        <v>62</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5">
      <c r="A50" t="s">
        <v>91</v>
      </c>
      <c r="B50" t="s">
        <v>17</v>
      </c>
      <c r="C50">
        <v>3</v>
      </c>
      <c r="D50">
        <v>26.8</v>
      </c>
      <c r="E50">
        <v>80.400000000000006</v>
      </c>
      <c r="F50" s="1">
        <v>45659</v>
      </c>
      <c r="G50" s="1">
        <v>45668</v>
      </c>
      <c r="H50" t="s">
        <v>12</v>
      </c>
      <c r="I50" t="s">
        <v>20</v>
      </c>
      <c r="J50">
        <v>5</v>
      </c>
      <c r="K50" t="s">
        <v>4</v>
      </c>
      <c r="L50" t="s">
        <v>62</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5">
      <c r="A51" t="s">
        <v>92</v>
      </c>
      <c r="B51" t="s">
        <v>66</v>
      </c>
      <c r="C51">
        <v>1</v>
      </c>
      <c r="D51">
        <v>27</v>
      </c>
      <c r="E51">
        <v>27</v>
      </c>
      <c r="F51" s="1">
        <v>45659</v>
      </c>
      <c r="G51" s="1">
        <v>45661</v>
      </c>
      <c r="H51" t="s">
        <v>12</v>
      </c>
      <c r="I51" t="s">
        <v>3</v>
      </c>
      <c r="J51">
        <v>4</v>
      </c>
      <c r="K51" t="s">
        <v>4</v>
      </c>
      <c r="L51" t="s">
        <v>93</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5">
      <c r="A52" t="s">
        <v>94</v>
      </c>
      <c r="B52" t="s">
        <v>29</v>
      </c>
      <c r="C52">
        <v>1</v>
      </c>
      <c r="D52">
        <v>41.4</v>
      </c>
      <c r="E52">
        <v>41.4</v>
      </c>
      <c r="F52" s="1">
        <v>45659</v>
      </c>
      <c r="G52" s="1">
        <v>45660</v>
      </c>
      <c r="H52" t="s">
        <v>8</v>
      </c>
      <c r="I52" t="s">
        <v>20</v>
      </c>
      <c r="J52">
        <v>5</v>
      </c>
      <c r="K52" t="s">
        <v>4</v>
      </c>
      <c r="L52" t="s">
        <v>95</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5">
      <c r="A53" t="s">
        <v>96</v>
      </c>
      <c r="B53" t="s">
        <v>29</v>
      </c>
      <c r="C53">
        <v>2</v>
      </c>
      <c r="D53">
        <v>24.3</v>
      </c>
      <c r="E53">
        <v>48.6</v>
      </c>
      <c r="F53" s="1">
        <v>45659</v>
      </c>
      <c r="G53" s="1">
        <v>45662</v>
      </c>
      <c r="H53" t="s">
        <v>12</v>
      </c>
      <c r="I53" t="s">
        <v>20</v>
      </c>
      <c r="J53">
        <v>4</v>
      </c>
      <c r="K53" t="s">
        <v>4</v>
      </c>
      <c r="L53" t="s">
        <v>95</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5">
      <c r="A54" t="s">
        <v>97</v>
      </c>
      <c r="B54" t="s">
        <v>29</v>
      </c>
      <c r="C54">
        <v>3</v>
      </c>
      <c r="D54">
        <v>41.7</v>
      </c>
      <c r="E54">
        <v>125.10000000000001</v>
      </c>
      <c r="F54" s="1">
        <v>45659</v>
      </c>
      <c r="G54" s="1">
        <v>45661</v>
      </c>
      <c r="H54" t="s">
        <v>8</v>
      </c>
      <c r="I54" t="s">
        <v>3</v>
      </c>
      <c r="J54">
        <v>5</v>
      </c>
      <c r="K54" t="s">
        <v>4</v>
      </c>
      <c r="L54" t="s">
        <v>98</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5">
      <c r="A55" t="s">
        <v>99</v>
      </c>
      <c r="B55" t="s">
        <v>1</v>
      </c>
      <c r="C55">
        <v>2</v>
      </c>
      <c r="D55">
        <v>18</v>
      </c>
      <c r="E55">
        <v>36</v>
      </c>
      <c r="F55" s="1">
        <v>45659</v>
      </c>
      <c r="G55" s="1">
        <v>45660</v>
      </c>
      <c r="H55" t="s">
        <v>12</v>
      </c>
      <c r="I55" t="s">
        <v>3</v>
      </c>
      <c r="J55">
        <v>5</v>
      </c>
      <c r="K55" t="s">
        <v>4</v>
      </c>
      <c r="L55" t="s">
        <v>100</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5">
      <c r="A56" t="s">
        <v>101</v>
      </c>
      <c r="B56" t="s">
        <v>27</v>
      </c>
      <c r="C56">
        <v>3</v>
      </c>
      <c r="D56">
        <v>91.3</v>
      </c>
      <c r="E56">
        <v>273.89999999999998</v>
      </c>
      <c r="F56" s="1">
        <v>45659</v>
      </c>
      <c r="G56" s="1">
        <v>45662</v>
      </c>
      <c r="H56" t="s">
        <v>8</v>
      </c>
      <c r="I56" t="s">
        <v>25</v>
      </c>
      <c r="J56">
        <v>5</v>
      </c>
      <c r="K56" t="s">
        <v>4</v>
      </c>
      <c r="L56" t="s">
        <v>18</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5">
      <c r="A57" t="s">
        <v>102</v>
      </c>
      <c r="B57" t="s">
        <v>29</v>
      </c>
      <c r="C57">
        <v>8</v>
      </c>
      <c r="D57">
        <v>19.3</v>
      </c>
      <c r="E57">
        <v>154.4</v>
      </c>
      <c r="F57" s="1">
        <v>45659</v>
      </c>
      <c r="G57" s="1">
        <v>45660</v>
      </c>
      <c r="H57" t="s">
        <v>8</v>
      </c>
      <c r="I57" t="s">
        <v>3</v>
      </c>
      <c r="J57">
        <v>4</v>
      </c>
      <c r="K57" t="s">
        <v>4</v>
      </c>
      <c r="L57" t="s">
        <v>18</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5">
      <c r="A58" t="s">
        <v>103</v>
      </c>
      <c r="B58" t="s">
        <v>54</v>
      </c>
      <c r="C58">
        <v>13</v>
      </c>
      <c r="D58">
        <v>63.2</v>
      </c>
      <c r="E58">
        <v>821.6</v>
      </c>
      <c r="F58" s="1">
        <v>45659</v>
      </c>
      <c r="G58" s="1">
        <v>45660</v>
      </c>
      <c r="H58" t="s">
        <v>12</v>
      </c>
      <c r="I58" t="s">
        <v>3</v>
      </c>
      <c r="J58">
        <v>4</v>
      </c>
      <c r="K58" t="s">
        <v>4</v>
      </c>
      <c r="L58" t="s">
        <v>18</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5">
      <c r="A59" t="s">
        <v>104</v>
      </c>
      <c r="B59" t="s">
        <v>39</v>
      </c>
      <c r="C59">
        <v>9</v>
      </c>
      <c r="D59">
        <v>33.299999999999997</v>
      </c>
      <c r="E59">
        <v>299.7</v>
      </c>
      <c r="F59" s="1">
        <v>45660</v>
      </c>
      <c r="G59" s="1">
        <v>45668</v>
      </c>
      <c r="H59" t="s">
        <v>12</v>
      </c>
      <c r="I59" t="s">
        <v>3</v>
      </c>
      <c r="J59">
        <v>5</v>
      </c>
      <c r="K59" t="s">
        <v>4</v>
      </c>
      <c r="L59" t="s">
        <v>18</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5">
      <c r="A60" t="s">
        <v>105</v>
      </c>
      <c r="B60" t="s">
        <v>27</v>
      </c>
      <c r="C60">
        <v>2</v>
      </c>
      <c r="D60">
        <v>64.2</v>
      </c>
      <c r="E60">
        <v>128.4</v>
      </c>
      <c r="F60" s="1">
        <v>45660</v>
      </c>
      <c r="G60" s="1">
        <v>45661</v>
      </c>
      <c r="H60" t="s">
        <v>8</v>
      </c>
      <c r="I60" t="s">
        <v>3</v>
      </c>
      <c r="J60">
        <v>5</v>
      </c>
      <c r="K60" t="s">
        <v>4</v>
      </c>
      <c r="L60" t="s">
        <v>18</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5">
      <c r="A61" t="s">
        <v>106</v>
      </c>
      <c r="B61" t="s">
        <v>31</v>
      </c>
      <c r="C61">
        <v>3</v>
      </c>
      <c r="D61">
        <v>23.1</v>
      </c>
      <c r="E61">
        <v>69.300000000000011</v>
      </c>
      <c r="F61" s="1">
        <v>45660</v>
      </c>
      <c r="G61" s="1">
        <v>45663</v>
      </c>
      <c r="H61" t="s">
        <v>12</v>
      </c>
      <c r="I61" t="s">
        <v>20</v>
      </c>
      <c r="J61">
        <v>5</v>
      </c>
      <c r="K61" t="s">
        <v>4</v>
      </c>
      <c r="L61" t="s">
        <v>18</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5">
      <c r="A62" t="s">
        <v>107</v>
      </c>
      <c r="B62" t="s">
        <v>108</v>
      </c>
      <c r="C62">
        <v>2</v>
      </c>
      <c r="D62">
        <v>71.099999999999994</v>
      </c>
      <c r="E62">
        <v>142.19999999999999</v>
      </c>
      <c r="F62" s="1">
        <v>45660</v>
      </c>
      <c r="G62" s="1">
        <v>45662</v>
      </c>
      <c r="H62" t="s">
        <v>12</v>
      </c>
      <c r="I62" t="s">
        <v>36</v>
      </c>
      <c r="J62">
        <v>3</v>
      </c>
      <c r="K62" t="s">
        <v>4</v>
      </c>
      <c r="L62" t="s">
        <v>18</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5">
      <c r="A63" t="s">
        <v>109</v>
      </c>
      <c r="B63" t="s">
        <v>1</v>
      </c>
      <c r="C63">
        <v>2</v>
      </c>
      <c r="D63">
        <v>11.5</v>
      </c>
      <c r="E63">
        <v>23</v>
      </c>
      <c r="F63" s="1">
        <v>45660</v>
      </c>
      <c r="G63" s="1">
        <v>45661</v>
      </c>
      <c r="H63" t="s">
        <v>12</v>
      </c>
      <c r="I63" t="s">
        <v>3</v>
      </c>
      <c r="J63">
        <v>4</v>
      </c>
      <c r="K63" t="s">
        <v>4</v>
      </c>
      <c r="L63" t="s">
        <v>18</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5">
      <c r="A64" t="s">
        <v>110</v>
      </c>
      <c r="B64" t="s">
        <v>108</v>
      </c>
      <c r="C64">
        <v>19</v>
      </c>
      <c r="D64">
        <v>69.2</v>
      </c>
      <c r="E64">
        <v>1314.8</v>
      </c>
      <c r="F64" s="1">
        <v>45660</v>
      </c>
      <c r="G64" s="1">
        <v>45665</v>
      </c>
      <c r="H64" t="s">
        <v>12</v>
      </c>
      <c r="I64" t="s">
        <v>3</v>
      </c>
      <c r="J64">
        <v>4</v>
      </c>
      <c r="K64" t="s">
        <v>4</v>
      </c>
      <c r="L64" t="s">
        <v>18</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5">
      <c r="A65" t="s">
        <v>111</v>
      </c>
      <c r="B65" t="s">
        <v>1</v>
      </c>
      <c r="C65">
        <v>1</v>
      </c>
      <c r="D65">
        <v>26.8</v>
      </c>
      <c r="E65">
        <v>26.8</v>
      </c>
      <c r="F65" s="1">
        <v>45660</v>
      </c>
      <c r="G65" s="1">
        <v>45661</v>
      </c>
      <c r="H65" t="s">
        <v>8</v>
      </c>
      <c r="I65" t="s">
        <v>25</v>
      </c>
      <c r="J65">
        <v>2</v>
      </c>
      <c r="K65" t="s">
        <v>4</v>
      </c>
      <c r="L65" t="s">
        <v>18</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5">
      <c r="A66" t="s">
        <v>112</v>
      </c>
      <c r="B66" t="s">
        <v>113</v>
      </c>
      <c r="C66">
        <v>3</v>
      </c>
      <c r="D66">
        <v>31.2</v>
      </c>
      <c r="E66">
        <v>93.6</v>
      </c>
      <c r="F66" s="1">
        <v>45660</v>
      </c>
      <c r="G66" s="1">
        <v>45663</v>
      </c>
      <c r="H66" t="s">
        <v>12</v>
      </c>
      <c r="I66" t="s">
        <v>3</v>
      </c>
      <c r="J66">
        <v>4</v>
      </c>
      <c r="K66" t="s">
        <v>4</v>
      </c>
      <c r="L66" t="s">
        <v>18</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5">
      <c r="A67" t="s">
        <v>114</v>
      </c>
      <c r="B67" t="s">
        <v>54</v>
      </c>
      <c r="C67">
        <v>2</v>
      </c>
      <c r="D67">
        <v>113.2</v>
      </c>
      <c r="E67">
        <v>226.4</v>
      </c>
      <c r="F67" s="1">
        <v>45660</v>
      </c>
      <c r="G67" s="1">
        <v>45661</v>
      </c>
      <c r="H67" t="s">
        <v>12</v>
      </c>
      <c r="I67" t="s">
        <v>55</v>
      </c>
      <c r="J67">
        <v>4</v>
      </c>
      <c r="K67" t="s">
        <v>4</v>
      </c>
      <c r="L67" t="s">
        <v>18</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5">
      <c r="A68" t="s">
        <v>115</v>
      </c>
      <c r="B68" t="s">
        <v>39</v>
      </c>
      <c r="C68">
        <v>8</v>
      </c>
      <c r="D68">
        <v>21</v>
      </c>
      <c r="E68">
        <v>168</v>
      </c>
      <c r="F68" s="1">
        <v>45660</v>
      </c>
      <c r="G68" s="1">
        <v>45661</v>
      </c>
      <c r="H68" t="s">
        <v>8</v>
      </c>
      <c r="I68" t="s">
        <v>3</v>
      </c>
      <c r="J68">
        <v>4</v>
      </c>
      <c r="K68" t="s">
        <v>4</v>
      </c>
      <c r="L68" t="s">
        <v>40</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5">
      <c r="A69" t="s">
        <v>116</v>
      </c>
      <c r="B69" t="s">
        <v>7</v>
      </c>
      <c r="C69">
        <v>2</v>
      </c>
      <c r="D69">
        <v>89.1</v>
      </c>
      <c r="E69">
        <v>178.2</v>
      </c>
      <c r="F69" s="1">
        <v>45660</v>
      </c>
      <c r="G69" s="1">
        <v>45661</v>
      </c>
      <c r="H69" t="s">
        <v>12</v>
      </c>
      <c r="I69" t="s">
        <v>25</v>
      </c>
      <c r="J69">
        <v>5</v>
      </c>
      <c r="K69" t="s">
        <v>4</v>
      </c>
      <c r="L69" t="s">
        <v>40</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5">
      <c r="A70" t="s">
        <v>117</v>
      </c>
      <c r="B70" t="s">
        <v>7</v>
      </c>
      <c r="C70">
        <v>1</v>
      </c>
      <c r="D70">
        <v>97.7</v>
      </c>
      <c r="E70">
        <v>97.7</v>
      </c>
      <c r="F70" s="1">
        <v>45660</v>
      </c>
      <c r="G70" s="1">
        <v>45662</v>
      </c>
      <c r="H70" t="s">
        <v>12</v>
      </c>
      <c r="I70" t="s">
        <v>3</v>
      </c>
      <c r="J70">
        <v>3</v>
      </c>
      <c r="K70" t="s">
        <v>4</v>
      </c>
      <c r="L70" t="s">
        <v>40</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5">
      <c r="A71" t="s">
        <v>118</v>
      </c>
      <c r="B71" t="s">
        <v>108</v>
      </c>
      <c r="C71">
        <v>4</v>
      </c>
      <c r="D71">
        <v>97.7</v>
      </c>
      <c r="E71">
        <v>390.8</v>
      </c>
      <c r="F71" s="1">
        <v>45660</v>
      </c>
      <c r="G71" s="1">
        <v>45662</v>
      </c>
      <c r="H71" t="s">
        <v>8</v>
      </c>
      <c r="I71" t="s">
        <v>36</v>
      </c>
      <c r="J71">
        <v>4</v>
      </c>
      <c r="K71" t="s">
        <v>4</v>
      </c>
      <c r="L71" t="s">
        <v>40</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5">
      <c r="A72" t="s">
        <v>119</v>
      </c>
      <c r="B72" t="s">
        <v>120</v>
      </c>
      <c r="C72">
        <v>3</v>
      </c>
      <c r="D72">
        <v>47.4</v>
      </c>
      <c r="E72">
        <v>142.19999999999999</v>
      </c>
      <c r="F72" s="1">
        <v>45660</v>
      </c>
      <c r="G72" s="1">
        <v>45663</v>
      </c>
      <c r="H72" t="s">
        <v>8</v>
      </c>
      <c r="I72" t="s">
        <v>36</v>
      </c>
      <c r="J72">
        <v>5</v>
      </c>
      <c r="K72" t="s">
        <v>4</v>
      </c>
      <c r="L72" t="s">
        <v>47</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5">
      <c r="A73" t="s">
        <v>121</v>
      </c>
      <c r="B73" t="s">
        <v>27</v>
      </c>
      <c r="C73">
        <v>1</v>
      </c>
      <c r="D73">
        <v>89.6</v>
      </c>
      <c r="E73">
        <v>89.6</v>
      </c>
      <c r="F73" s="1">
        <v>45660</v>
      </c>
      <c r="G73" s="1">
        <v>45663</v>
      </c>
      <c r="H73" t="s">
        <v>12</v>
      </c>
      <c r="I73" t="s">
        <v>3</v>
      </c>
      <c r="J73">
        <v>5</v>
      </c>
      <c r="K73" t="s">
        <v>4</v>
      </c>
      <c r="L73" t="s">
        <v>47</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5">
      <c r="A74" t="s">
        <v>122</v>
      </c>
      <c r="B74" t="s">
        <v>39</v>
      </c>
      <c r="C74">
        <v>18</v>
      </c>
      <c r="D74">
        <v>28.4</v>
      </c>
      <c r="E74">
        <v>511.2</v>
      </c>
      <c r="F74" s="1">
        <v>45660</v>
      </c>
      <c r="G74" s="1">
        <v>45663</v>
      </c>
      <c r="H74" t="s">
        <v>12</v>
      </c>
      <c r="I74" t="s">
        <v>36</v>
      </c>
      <c r="J74">
        <v>5</v>
      </c>
      <c r="K74" t="s">
        <v>4</v>
      </c>
      <c r="L74" t="s">
        <v>88</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5">
      <c r="A75" t="s">
        <v>123</v>
      </c>
      <c r="B75" t="s">
        <v>1</v>
      </c>
      <c r="C75">
        <v>2</v>
      </c>
      <c r="D75">
        <v>17.899999999999999</v>
      </c>
      <c r="E75">
        <v>35.799999999999997</v>
      </c>
      <c r="F75" s="1">
        <v>45660</v>
      </c>
      <c r="G75" s="1">
        <v>45661</v>
      </c>
      <c r="H75" t="s">
        <v>12</v>
      </c>
      <c r="I75" t="s">
        <v>3</v>
      </c>
      <c r="J75">
        <v>5</v>
      </c>
      <c r="K75" t="s">
        <v>4</v>
      </c>
      <c r="L75" t="s">
        <v>57</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5">
      <c r="A76" t="s">
        <v>124</v>
      </c>
      <c r="B76" t="s">
        <v>31</v>
      </c>
      <c r="C76">
        <v>2</v>
      </c>
      <c r="D76">
        <v>48.4</v>
      </c>
      <c r="E76">
        <v>96.8</v>
      </c>
      <c r="F76" s="1">
        <v>45660</v>
      </c>
      <c r="G76" s="1">
        <v>45663</v>
      </c>
      <c r="H76" t="s">
        <v>8</v>
      </c>
      <c r="I76" t="s">
        <v>20</v>
      </c>
      <c r="J76">
        <v>4</v>
      </c>
      <c r="K76" t="s">
        <v>4</v>
      </c>
      <c r="L76" t="s">
        <v>57</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5">
      <c r="A77" t="s">
        <v>125</v>
      </c>
      <c r="B77" t="s">
        <v>54</v>
      </c>
      <c r="C77">
        <v>4</v>
      </c>
      <c r="D77">
        <v>44.4</v>
      </c>
      <c r="E77">
        <v>177.6</v>
      </c>
      <c r="F77" s="1">
        <v>45660</v>
      </c>
      <c r="G77" s="1">
        <v>45661</v>
      </c>
      <c r="H77" t="s">
        <v>74</v>
      </c>
      <c r="I77" t="s">
        <v>20</v>
      </c>
      <c r="J77">
        <v>3</v>
      </c>
      <c r="K77" t="s">
        <v>4</v>
      </c>
      <c r="L77" t="s">
        <v>62</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5">
      <c r="A78" t="s">
        <v>126</v>
      </c>
      <c r="B78" t="s">
        <v>11</v>
      </c>
      <c r="C78">
        <v>8</v>
      </c>
      <c r="D78">
        <v>103.7</v>
      </c>
      <c r="E78">
        <v>829.6</v>
      </c>
      <c r="F78" s="1">
        <v>45660</v>
      </c>
      <c r="G78" s="1">
        <v>45661</v>
      </c>
      <c r="H78" t="s">
        <v>12</v>
      </c>
      <c r="I78" t="s">
        <v>3</v>
      </c>
      <c r="J78">
        <v>3</v>
      </c>
      <c r="K78" t="s">
        <v>4</v>
      </c>
      <c r="L78" t="s">
        <v>95</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5">
      <c r="A79" t="s">
        <v>127</v>
      </c>
      <c r="B79" t="s">
        <v>22</v>
      </c>
      <c r="C79">
        <v>4</v>
      </c>
      <c r="D79">
        <v>58.6</v>
      </c>
      <c r="E79">
        <v>234.4</v>
      </c>
      <c r="F79" s="1">
        <v>45660</v>
      </c>
      <c r="G79" s="1">
        <v>45662</v>
      </c>
      <c r="H79" t="s">
        <v>8</v>
      </c>
      <c r="I79" t="s">
        <v>36</v>
      </c>
      <c r="J79">
        <v>4</v>
      </c>
      <c r="K79" t="s">
        <v>4</v>
      </c>
      <c r="L79" t="s">
        <v>95</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5">
      <c r="A80" t="s">
        <v>128</v>
      </c>
      <c r="B80" t="s">
        <v>31</v>
      </c>
      <c r="C80">
        <v>4</v>
      </c>
      <c r="D80">
        <v>54.8</v>
      </c>
      <c r="E80">
        <v>219.2</v>
      </c>
      <c r="F80" s="1">
        <v>45660</v>
      </c>
      <c r="G80" s="1">
        <v>45664</v>
      </c>
      <c r="H80" t="s">
        <v>12</v>
      </c>
      <c r="I80" t="s">
        <v>25</v>
      </c>
      <c r="J80">
        <v>3</v>
      </c>
      <c r="K80" t="s">
        <v>4</v>
      </c>
      <c r="L80" t="s">
        <v>67</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5">
      <c r="A81" t="s">
        <v>129</v>
      </c>
      <c r="B81" t="s">
        <v>54</v>
      </c>
      <c r="C81">
        <v>3</v>
      </c>
      <c r="D81">
        <v>78.8</v>
      </c>
      <c r="E81">
        <v>236.39999999999998</v>
      </c>
      <c r="F81" s="1">
        <v>45660</v>
      </c>
      <c r="G81" s="1">
        <v>45666</v>
      </c>
      <c r="H81" t="s">
        <v>12</v>
      </c>
      <c r="I81" t="s">
        <v>55</v>
      </c>
      <c r="J81">
        <v>3</v>
      </c>
      <c r="K81" t="s">
        <v>4</v>
      </c>
      <c r="L81" t="s">
        <v>100</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5">
      <c r="A82" t="s">
        <v>130</v>
      </c>
      <c r="B82" t="s">
        <v>131</v>
      </c>
      <c r="C82">
        <v>5</v>
      </c>
      <c r="D82">
        <v>36.799999999999997</v>
      </c>
      <c r="E82">
        <v>184</v>
      </c>
      <c r="F82" s="1">
        <v>45660</v>
      </c>
      <c r="G82" s="1">
        <v>45663</v>
      </c>
      <c r="H82" t="s">
        <v>8</v>
      </c>
      <c r="I82" t="s">
        <v>55</v>
      </c>
      <c r="J82">
        <v>3</v>
      </c>
      <c r="K82" t="s">
        <v>4</v>
      </c>
      <c r="L82" t="s">
        <v>132</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5">
      <c r="A83" t="s">
        <v>133</v>
      </c>
      <c r="B83" t="s">
        <v>24</v>
      </c>
      <c r="C83">
        <v>6</v>
      </c>
      <c r="D83">
        <v>50.6</v>
      </c>
      <c r="E83">
        <v>303.60000000000002</v>
      </c>
      <c r="F83" s="1">
        <v>45660</v>
      </c>
      <c r="G83" s="1">
        <v>45662</v>
      </c>
      <c r="H83" t="s">
        <v>12</v>
      </c>
      <c r="I83" t="s">
        <v>36</v>
      </c>
      <c r="J83">
        <v>4</v>
      </c>
      <c r="K83" t="s">
        <v>4</v>
      </c>
      <c r="L83" t="s">
        <v>18</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5">
      <c r="A84" t="s">
        <v>134</v>
      </c>
      <c r="B84" t="s">
        <v>108</v>
      </c>
      <c r="C84">
        <v>3</v>
      </c>
      <c r="D84">
        <v>36.799999999999997</v>
      </c>
      <c r="E84">
        <v>110.39999999999999</v>
      </c>
      <c r="F84" s="1">
        <v>45660</v>
      </c>
      <c r="G84" s="1">
        <v>45660</v>
      </c>
      <c r="H84" t="s">
        <v>8</v>
      </c>
      <c r="I84" t="s">
        <v>25</v>
      </c>
      <c r="J84">
        <v>3</v>
      </c>
      <c r="K84" t="s">
        <v>4</v>
      </c>
      <c r="L84" t="s">
        <v>18</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5">
      <c r="A85" t="s">
        <v>135</v>
      </c>
      <c r="B85" t="s">
        <v>29</v>
      </c>
      <c r="C85">
        <v>9</v>
      </c>
      <c r="D85">
        <v>41.8</v>
      </c>
      <c r="E85">
        <v>376.2</v>
      </c>
      <c r="F85" s="1">
        <v>45661</v>
      </c>
      <c r="G85" s="1">
        <v>45667</v>
      </c>
      <c r="H85" t="s">
        <v>12</v>
      </c>
      <c r="I85" t="s">
        <v>36</v>
      </c>
      <c r="J85">
        <v>4</v>
      </c>
      <c r="K85" t="s">
        <v>4</v>
      </c>
      <c r="L85" t="s">
        <v>18</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5">
      <c r="A86" t="s">
        <v>136</v>
      </c>
      <c r="B86" t="s">
        <v>131</v>
      </c>
      <c r="C86">
        <v>1</v>
      </c>
      <c r="D86">
        <v>77.3</v>
      </c>
      <c r="E86">
        <v>77.3</v>
      </c>
      <c r="F86" s="1">
        <v>45661</v>
      </c>
      <c r="G86" s="1">
        <v>45662</v>
      </c>
      <c r="H86" t="s">
        <v>8</v>
      </c>
      <c r="I86" t="s">
        <v>55</v>
      </c>
      <c r="J86">
        <v>2</v>
      </c>
      <c r="K86" t="s">
        <v>4</v>
      </c>
      <c r="L86" t="s">
        <v>18</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5">
      <c r="A87" t="s">
        <v>137</v>
      </c>
      <c r="B87" t="s">
        <v>29</v>
      </c>
      <c r="C87">
        <v>4</v>
      </c>
      <c r="D87">
        <v>19.8</v>
      </c>
      <c r="E87">
        <v>79.2</v>
      </c>
      <c r="F87" s="1">
        <v>45661</v>
      </c>
      <c r="G87" s="1">
        <v>45667</v>
      </c>
      <c r="H87" t="s">
        <v>8</v>
      </c>
      <c r="I87" t="s">
        <v>20</v>
      </c>
      <c r="J87">
        <v>5</v>
      </c>
      <c r="K87" t="s">
        <v>4</v>
      </c>
      <c r="L87" t="s">
        <v>18</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5">
      <c r="A88" t="s">
        <v>138</v>
      </c>
      <c r="B88" t="s">
        <v>61</v>
      </c>
      <c r="C88">
        <v>4</v>
      </c>
      <c r="D88">
        <v>15.5</v>
      </c>
      <c r="E88">
        <v>62</v>
      </c>
      <c r="F88" s="1">
        <v>45661</v>
      </c>
      <c r="G88" s="1">
        <v>45662</v>
      </c>
      <c r="H88" t="s">
        <v>12</v>
      </c>
      <c r="I88" t="s">
        <v>20</v>
      </c>
      <c r="J88">
        <v>5</v>
      </c>
      <c r="K88" t="s">
        <v>4</v>
      </c>
      <c r="L88" t="s">
        <v>18</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5">
      <c r="A89" t="s">
        <v>139</v>
      </c>
      <c r="B89" t="s">
        <v>54</v>
      </c>
      <c r="C89">
        <v>1</v>
      </c>
      <c r="D89">
        <v>46.8</v>
      </c>
      <c r="E89">
        <v>46.8</v>
      </c>
      <c r="F89" s="1">
        <v>45661</v>
      </c>
      <c r="G89" s="1">
        <v>45665</v>
      </c>
      <c r="H89" t="s">
        <v>8</v>
      </c>
      <c r="I89" t="s">
        <v>3</v>
      </c>
      <c r="J89">
        <v>5</v>
      </c>
      <c r="K89" t="s">
        <v>4</v>
      </c>
      <c r="L89" t="s">
        <v>18</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5">
      <c r="A90" t="s">
        <v>140</v>
      </c>
      <c r="B90" t="s">
        <v>31</v>
      </c>
      <c r="C90">
        <v>9</v>
      </c>
      <c r="D90">
        <v>28.6</v>
      </c>
      <c r="E90">
        <v>257.40000000000003</v>
      </c>
      <c r="F90" s="1">
        <v>45661</v>
      </c>
      <c r="G90" s="1">
        <v>45665</v>
      </c>
      <c r="H90" t="s">
        <v>8</v>
      </c>
      <c r="I90" t="s">
        <v>3</v>
      </c>
      <c r="J90">
        <v>5</v>
      </c>
      <c r="K90" t="s">
        <v>4</v>
      </c>
      <c r="L90" t="s">
        <v>18</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5">
      <c r="A91" t="s">
        <v>141</v>
      </c>
      <c r="B91" t="s">
        <v>11</v>
      </c>
      <c r="C91">
        <v>1</v>
      </c>
      <c r="D91">
        <v>97.7</v>
      </c>
      <c r="E91">
        <v>97.7</v>
      </c>
      <c r="F91" s="1">
        <v>45661</v>
      </c>
      <c r="G91" s="1">
        <v>45664</v>
      </c>
      <c r="H91" t="s">
        <v>12</v>
      </c>
      <c r="I91" t="s">
        <v>20</v>
      </c>
      <c r="J91">
        <v>4</v>
      </c>
      <c r="K91" t="s">
        <v>4</v>
      </c>
      <c r="L91" t="s">
        <v>18</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5">
      <c r="A92" t="s">
        <v>142</v>
      </c>
      <c r="B92" t="s">
        <v>31</v>
      </c>
      <c r="C92">
        <v>5</v>
      </c>
      <c r="D92">
        <v>54.7</v>
      </c>
      <c r="E92">
        <v>273.5</v>
      </c>
      <c r="F92" s="1">
        <v>45661</v>
      </c>
      <c r="G92" s="1">
        <v>45664</v>
      </c>
      <c r="H92" t="s">
        <v>2</v>
      </c>
      <c r="I92" t="s">
        <v>3</v>
      </c>
      <c r="J92">
        <v>5</v>
      </c>
      <c r="K92" t="s">
        <v>4</v>
      </c>
      <c r="L92" t="s">
        <v>143</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5">
      <c r="A93" t="s">
        <v>144</v>
      </c>
      <c r="B93" t="s">
        <v>11</v>
      </c>
      <c r="C93">
        <v>6</v>
      </c>
      <c r="D93">
        <v>130.5</v>
      </c>
      <c r="E93">
        <v>783</v>
      </c>
      <c r="F93" s="1">
        <v>45661</v>
      </c>
      <c r="G93" s="1">
        <v>45663</v>
      </c>
      <c r="H93" t="s">
        <v>12</v>
      </c>
      <c r="I93" t="s">
        <v>3</v>
      </c>
      <c r="J93">
        <v>3</v>
      </c>
      <c r="K93" t="s">
        <v>4</v>
      </c>
      <c r="L93" t="s">
        <v>143</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5">
      <c r="A94" t="s">
        <v>145</v>
      </c>
      <c r="B94" t="s">
        <v>52</v>
      </c>
      <c r="C94">
        <v>2</v>
      </c>
      <c r="D94">
        <v>50.4</v>
      </c>
      <c r="E94">
        <v>100.8</v>
      </c>
      <c r="F94" s="1">
        <v>45661</v>
      </c>
      <c r="G94" s="1">
        <v>45663</v>
      </c>
      <c r="H94" t="s">
        <v>8</v>
      </c>
      <c r="I94" t="s">
        <v>25</v>
      </c>
      <c r="J94">
        <v>5</v>
      </c>
      <c r="K94" t="s">
        <v>4</v>
      </c>
      <c r="L94" t="s">
        <v>40</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5">
      <c r="A95" t="s">
        <v>146</v>
      </c>
      <c r="B95" t="s">
        <v>24</v>
      </c>
      <c r="C95">
        <v>13</v>
      </c>
      <c r="D95">
        <v>61.5</v>
      </c>
      <c r="E95">
        <v>799.5</v>
      </c>
      <c r="F95" s="1">
        <v>45661</v>
      </c>
      <c r="G95" s="1">
        <v>45662</v>
      </c>
      <c r="H95" t="s">
        <v>2</v>
      </c>
      <c r="I95" t="s">
        <v>36</v>
      </c>
      <c r="J95">
        <v>3</v>
      </c>
      <c r="K95" t="s">
        <v>4</v>
      </c>
      <c r="L95" t="s">
        <v>62</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5">
      <c r="A96" t="s">
        <v>147</v>
      </c>
      <c r="B96" t="s">
        <v>31</v>
      </c>
      <c r="C96">
        <v>4</v>
      </c>
      <c r="D96">
        <v>30.1</v>
      </c>
      <c r="E96">
        <v>120.4</v>
      </c>
      <c r="F96" s="1">
        <v>45661</v>
      </c>
      <c r="G96" s="1">
        <v>45662</v>
      </c>
      <c r="H96" t="s">
        <v>12</v>
      </c>
      <c r="I96" t="s">
        <v>3</v>
      </c>
      <c r="J96">
        <v>5</v>
      </c>
      <c r="K96" t="s">
        <v>4</v>
      </c>
      <c r="L96" t="s">
        <v>100</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5">
      <c r="A97" t="s">
        <v>148</v>
      </c>
      <c r="B97" t="s">
        <v>11</v>
      </c>
      <c r="C97">
        <v>5</v>
      </c>
      <c r="D97">
        <v>74.8</v>
      </c>
      <c r="E97">
        <v>374</v>
      </c>
      <c r="F97" s="1">
        <v>45661</v>
      </c>
      <c r="G97" s="1">
        <v>45662</v>
      </c>
      <c r="H97" t="s">
        <v>12</v>
      </c>
      <c r="I97" t="s">
        <v>20</v>
      </c>
      <c r="J97">
        <v>4</v>
      </c>
      <c r="K97" t="s">
        <v>4</v>
      </c>
      <c r="L97" t="s">
        <v>9</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5">
      <c r="A98" t="s">
        <v>149</v>
      </c>
      <c r="B98" t="s">
        <v>113</v>
      </c>
      <c r="C98">
        <v>3</v>
      </c>
      <c r="D98">
        <v>64.900000000000006</v>
      </c>
      <c r="E98">
        <v>194.70000000000002</v>
      </c>
      <c r="F98" s="1">
        <v>45661</v>
      </c>
      <c r="G98" s="1">
        <v>45668</v>
      </c>
      <c r="H98" t="s">
        <v>8</v>
      </c>
      <c r="I98" t="s">
        <v>3</v>
      </c>
      <c r="J98">
        <v>4</v>
      </c>
      <c r="K98" t="s">
        <v>4</v>
      </c>
      <c r="L98" t="s">
        <v>13</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5">
      <c r="A99" t="s">
        <v>150</v>
      </c>
      <c r="B99" t="s">
        <v>31</v>
      </c>
      <c r="C99">
        <v>2</v>
      </c>
      <c r="D99">
        <v>50.5</v>
      </c>
      <c r="E99">
        <v>101</v>
      </c>
      <c r="F99" s="1">
        <v>45661</v>
      </c>
      <c r="G99" s="1">
        <v>45663</v>
      </c>
      <c r="H99" t="s">
        <v>8</v>
      </c>
      <c r="I99" t="s">
        <v>20</v>
      </c>
      <c r="J99">
        <v>4</v>
      </c>
      <c r="K99" t="s">
        <v>4</v>
      </c>
      <c r="L99" t="s">
        <v>132</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5">
      <c r="A100" t="s">
        <v>151</v>
      </c>
      <c r="B100" t="s">
        <v>52</v>
      </c>
      <c r="C100">
        <v>7</v>
      </c>
      <c r="D100">
        <v>63</v>
      </c>
      <c r="E100">
        <v>441</v>
      </c>
      <c r="F100" s="1">
        <v>45661</v>
      </c>
      <c r="G100" s="1">
        <v>45664</v>
      </c>
      <c r="H100" t="s">
        <v>8</v>
      </c>
      <c r="I100" t="s">
        <v>36</v>
      </c>
      <c r="J100">
        <v>5</v>
      </c>
      <c r="K100" t="s">
        <v>4</v>
      </c>
      <c r="L100" t="s">
        <v>18</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5">
      <c r="A101" t="s">
        <v>152</v>
      </c>
      <c r="B101" t="s">
        <v>11</v>
      </c>
      <c r="C101">
        <v>3</v>
      </c>
      <c r="D101">
        <v>93.6</v>
      </c>
      <c r="E101">
        <v>280.79999999999995</v>
      </c>
      <c r="F101" s="1">
        <v>45661</v>
      </c>
      <c r="G101" s="1">
        <v>45674</v>
      </c>
      <c r="H101" t="s">
        <v>12</v>
      </c>
      <c r="I101" t="s">
        <v>3</v>
      </c>
      <c r="J101">
        <v>5</v>
      </c>
      <c r="K101" t="s">
        <v>4</v>
      </c>
      <c r="L101" t="s">
        <v>18</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5">
      <c r="A102" t="s">
        <v>153</v>
      </c>
      <c r="B102" t="s">
        <v>22</v>
      </c>
      <c r="C102">
        <v>30</v>
      </c>
      <c r="D102">
        <v>41.4</v>
      </c>
      <c r="E102">
        <v>1242</v>
      </c>
      <c r="F102" s="1">
        <v>45661</v>
      </c>
      <c r="G102" s="1">
        <v>45665</v>
      </c>
      <c r="H102" t="s">
        <v>8</v>
      </c>
      <c r="I102" t="s">
        <v>25</v>
      </c>
      <c r="J102">
        <v>5</v>
      </c>
      <c r="K102" t="s">
        <v>4</v>
      </c>
      <c r="L102" t="s">
        <v>18</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5">
      <c r="A103" t="s">
        <v>154</v>
      </c>
      <c r="B103" t="s">
        <v>11</v>
      </c>
      <c r="C103">
        <v>2</v>
      </c>
      <c r="D103">
        <v>160</v>
      </c>
      <c r="E103">
        <v>320</v>
      </c>
      <c r="F103" s="1">
        <v>45662</v>
      </c>
      <c r="G103" s="1">
        <v>45663</v>
      </c>
      <c r="H103" t="s">
        <v>8</v>
      </c>
      <c r="I103" t="s">
        <v>25</v>
      </c>
      <c r="J103">
        <v>5</v>
      </c>
      <c r="K103" t="s">
        <v>4</v>
      </c>
      <c r="L103" t="s">
        <v>37</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5">
      <c r="A104" t="s">
        <v>155</v>
      </c>
      <c r="B104" t="s">
        <v>156</v>
      </c>
      <c r="C104">
        <v>11</v>
      </c>
      <c r="D104">
        <v>10.5</v>
      </c>
      <c r="E104">
        <v>115.5</v>
      </c>
      <c r="F104" s="1">
        <v>45662</v>
      </c>
      <c r="G104" s="1">
        <v>45665</v>
      </c>
      <c r="H104" t="s">
        <v>12</v>
      </c>
      <c r="I104" t="s">
        <v>55</v>
      </c>
      <c r="J104">
        <v>4</v>
      </c>
      <c r="K104" t="s">
        <v>4</v>
      </c>
      <c r="L104" t="s">
        <v>47</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5">
      <c r="A105" t="s">
        <v>157</v>
      </c>
      <c r="B105" t="s">
        <v>39</v>
      </c>
      <c r="C105">
        <v>2</v>
      </c>
      <c r="D105">
        <v>53</v>
      </c>
      <c r="E105">
        <v>106</v>
      </c>
      <c r="F105" s="1">
        <v>45662</v>
      </c>
      <c r="G105" s="1">
        <v>45662</v>
      </c>
      <c r="H105" t="s">
        <v>8</v>
      </c>
      <c r="I105" t="s">
        <v>25</v>
      </c>
      <c r="J105">
        <v>2</v>
      </c>
      <c r="K105" t="s">
        <v>4</v>
      </c>
      <c r="L105" t="s">
        <v>88</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5">
      <c r="A106" t="s">
        <v>158</v>
      </c>
      <c r="B106" t="s">
        <v>29</v>
      </c>
      <c r="C106">
        <v>3</v>
      </c>
      <c r="D106">
        <v>18.5</v>
      </c>
      <c r="E106">
        <v>55.5</v>
      </c>
      <c r="F106" s="1">
        <v>45662</v>
      </c>
      <c r="G106" s="1">
        <v>45667</v>
      </c>
      <c r="H106" t="s">
        <v>12</v>
      </c>
      <c r="I106" t="s">
        <v>20</v>
      </c>
      <c r="J106">
        <v>5</v>
      </c>
      <c r="K106" t="s">
        <v>4</v>
      </c>
      <c r="L106" t="s">
        <v>62</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5">
      <c r="A107" t="s">
        <v>159</v>
      </c>
      <c r="B107" t="s">
        <v>113</v>
      </c>
      <c r="C107">
        <v>3</v>
      </c>
      <c r="D107">
        <v>84.5</v>
      </c>
      <c r="E107">
        <v>253.5</v>
      </c>
      <c r="F107" s="1">
        <v>45662</v>
      </c>
      <c r="G107" s="1">
        <v>45664</v>
      </c>
      <c r="H107" t="s">
        <v>12</v>
      </c>
      <c r="I107" t="s">
        <v>55</v>
      </c>
      <c r="J107">
        <v>3</v>
      </c>
      <c r="K107" t="s">
        <v>4</v>
      </c>
      <c r="L107" t="s">
        <v>67</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5">
      <c r="A108" t="s">
        <v>160</v>
      </c>
      <c r="B108" t="s">
        <v>108</v>
      </c>
      <c r="C108">
        <v>7</v>
      </c>
      <c r="D108">
        <v>31.2</v>
      </c>
      <c r="E108">
        <v>218.4</v>
      </c>
      <c r="F108" s="1">
        <v>45662</v>
      </c>
      <c r="G108" s="1">
        <v>45662</v>
      </c>
      <c r="H108" t="s">
        <v>12</v>
      </c>
      <c r="I108" t="s">
        <v>25</v>
      </c>
      <c r="J108">
        <v>5</v>
      </c>
      <c r="K108" t="s">
        <v>4</v>
      </c>
      <c r="L108" t="s">
        <v>18</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5">
      <c r="A109" t="s">
        <v>161</v>
      </c>
      <c r="B109" t="s">
        <v>29</v>
      </c>
      <c r="C109">
        <v>18</v>
      </c>
      <c r="D109">
        <v>32.6</v>
      </c>
      <c r="E109">
        <v>586.80000000000007</v>
      </c>
      <c r="F109" s="1">
        <v>45662</v>
      </c>
      <c r="G109" s="1">
        <v>45663</v>
      </c>
      <c r="H109" t="s">
        <v>8</v>
      </c>
      <c r="I109" t="s">
        <v>20</v>
      </c>
      <c r="J109">
        <v>3</v>
      </c>
      <c r="K109" t="s">
        <v>4</v>
      </c>
      <c r="L109" t="s">
        <v>18</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5">
      <c r="A110" t="s">
        <v>162</v>
      </c>
      <c r="B110" t="s">
        <v>39</v>
      </c>
      <c r="C110">
        <v>4</v>
      </c>
      <c r="D110">
        <v>45.4</v>
      </c>
      <c r="E110">
        <v>181.6</v>
      </c>
      <c r="F110" s="1">
        <v>45662</v>
      </c>
      <c r="G110" s="1">
        <v>45664</v>
      </c>
      <c r="H110" t="s">
        <v>8</v>
      </c>
      <c r="I110" t="s">
        <v>20</v>
      </c>
      <c r="J110">
        <v>4</v>
      </c>
      <c r="K110" t="s">
        <v>4</v>
      </c>
      <c r="L110" t="s">
        <v>18</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5">
      <c r="A111" t="s">
        <v>163</v>
      </c>
      <c r="B111" t="s">
        <v>11</v>
      </c>
      <c r="C111">
        <v>12</v>
      </c>
      <c r="D111">
        <v>120</v>
      </c>
      <c r="E111">
        <v>1440</v>
      </c>
      <c r="F111" s="1">
        <v>45662</v>
      </c>
      <c r="G111" s="1">
        <v>45663</v>
      </c>
      <c r="H111" t="s">
        <v>12</v>
      </c>
      <c r="I111" t="s">
        <v>25</v>
      </c>
      <c r="J111">
        <v>2</v>
      </c>
      <c r="K111" t="s">
        <v>4</v>
      </c>
      <c r="L111" t="s">
        <v>18</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5">
      <c r="A112" t="s">
        <v>164</v>
      </c>
      <c r="B112" t="s">
        <v>1</v>
      </c>
      <c r="C112">
        <v>4</v>
      </c>
      <c r="D112">
        <v>18.899999999999999</v>
      </c>
      <c r="E112">
        <v>75.599999999999994</v>
      </c>
      <c r="F112" s="1">
        <v>45662</v>
      </c>
      <c r="G112" s="1">
        <v>45664</v>
      </c>
      <c r="H112" t="s">
        <v>8</v>
      </c>
      <c r="I112" t="s">
        <v>3</v>
      </c>
      <c r="J112">
        <v>5</v>
      </c>
      <c r="K112" t="s">
        <v>4</v>
      </c>
      <c r="L112" t="s">
        <v>18</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5">
      <c r="A113" t="s">
        <v>165</v>
      </c>
      <c r="B113" t="s">
        <v>17</v>
      </c>
      <c r="C113">
        <v>1</v>
      </c>
      <c r="D113">
        <v>32</v>
      </c>
      <c r="E113">
        <v>32</v>
      </c>
      <c r="F113" s="1">
        <v>45662</v>
      </c>
      <c r="G113" s="1">
        <v>45664</v>
      </c>
      <c r="H113" t="s">
        <v>12</v>
      </c>
      <c r="I113" t="s">
        <v>55</v>
      </c>
      <c r="J113">
        <v>4</v>
      </c>
      <c r="K113" t="s">
        <v>4</v>
      </c>
      <c r="L113" t="s">
        <v>18</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5">
      <c r="A114" t="s">
        <v>166</v>
      </c>
      <c r="B114" t="s">
        <v>27</v>
      </c>
      <c r="C114">
        <v>2</v>
      </c>
      <c r="D114">
        <v>37.299999999999997</v>
      </c>
      <c r="E114">
        <v>74.599999999999994</v>
      </c>
      <c r="F114" s="1">
        <v>45662</v>
      </c>
      <c r="G114" s="1">
        <v>45663</v>
      </c>
      <c r="H114" t="s">
        <v>8</v>
      </c>
      <c r="I114" t="s">
        <v>25</v>
      </c>
      <c r="J114">
        <v>4</v>
      </c>
      <c r="K114" t="s">
        <v>4</v>
      </c>
      <c r="L114" t="s">
        <v>18</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5">
      <c r="A115" t="s">
        <v>167</v>
      </c>
      <c r="B115" t="s">
        <v>131</v>
      </c>
      <c r="C115">
        <v>1</v>
      </c>
      <c r="D115">
        <v>119.8</v>
      </c>
      <c r="E115">
        <v>119.8</v>
      </c>
      <c r="F115" s="1">
        <v>45662</v>
      </c>
      <c r="G115" s="1">
        <v>45663</v>
      </c>
      <c r="H115" t="s">
        <v>8</v>
      </c>
      <c r="I115" t="s">
        <v>20</v>
      </c>
      <c r="J115">
        <v>3</v>
      </c>
      <c r="K115" t="s">
        <v>4</v>
      </c>
      <c r="L115" t="s">
        <v>18</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5">
      <c r="A116" t="s">
        <v>168</v>
      </c>
      <c r="B116" t="s">
        <v>39</v>
      </c>
      <c r="C116">
        <v>2</v>
      </c>
      <c r="D116">
        <v>26.4</v>
      </c>
      <c r="E116">
        <v>52.8</v>
      </c>
      <c r="F116" s="1">
        <v>45662</v>
      </c>
      <c r="G116" s="1">
        <v>45665</v>
      </c>
      <c r="H116" t="s">
        <v>8</v>
      </c>
      <c r="I116" t="s">
        <v>25</v>
      </c>
      <c r="J116">
        <v>4</v>
      </c>
      <c r="K116" t="s">
        <v>4</v>
      </c>
      <c r="L116" t="s">
        <v>18</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5">
      <c r="A117" t="s">
        <v>169</v>
      </c>
      <c r="B117" t="s">
        <v>24</v>
      </c>
      <c r="C117">
        <v>6</v>
      </c>
      <c r="D117">
        <v>76.5</v>
      </c>
      <c r="E117">
        <v>459</v>
      </c>
      <c r="F117" s="1">
        <v>45662</v>
      </c>
      <c r="G117" s="1">
        <v>45663</v>
      </c>
      <c r="H117" t="s">
        <v>12</v>
      </c>
      <c r="I117" t="s">
        <v>20</v>
      </c>
      <c r="J117">
        <v>3</v>
      </c>
      <c r="K117" t="s">
        <v>4</v>
      </c>
      <c r="L117" t="s">
        <v>18</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5">
      <c r="A118" t="s">
        <v>170</v>
      </c>
      <c r="B118" t="s">
        <v>17</v>
      </c>
      <c r="C118">
        <v>10</v>
      </c>
      <c r="D118">
        <v>45.7</v>
      </c>
      <c r="E118">
        <v>457</v>
      </c>
      <c r="F118" s="1">
        <v>45662</v>
      </c>
      <c r="G118" s="1">
        <v>45663</v>
      </c>
      <c r="H118" t="s">
        <v>12</v>
      </c>
      <c r="I118" t="s">
        <v>25</v>
      </c>
      <c r="J118">
        <v>4</v>
      </c>
      <c r="K118" t="s">
        <v>4</v>
      </c>
      <c r="L118" t="s">
        <v>171</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5">
      <c r="A119" t="s">
        <v>172</v>
      </c>
      <c r="B119" t="s">
        <v>7</v>
      </c>
      <c r="C119">
        <v>12</v>
      </c>
      <c r="D119">
        <v>92.6</v>
      </c>
      <c r="E119">
        <v>1111.1999999999998</v>
      </c>
      <c r="F119" s="1">
        <v>45662</v>
      </c>
      <c r="G119" s="1">
        <v>45664</v>
      </c>
      <c r="H119" t="s">
        <v>12</v>
      </c>
      <c r="I119" t="s">
        <v>25</v>
      </c>
      <c r="J119">
        <v>4</v>
      </c>
      <c r="K119" t="s">
        <v>4</v>
      </c>
      <c r="L119" t="s">
        <v>173</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5">
      <c r="A120" t="s">
        <v>174</v>
      </c>
      <c r="B120" t="s">
        <v>24</v>
      </c>
      <c r="C120">
        <v>6</v>
      </c>
      <c r="D120">
        <v>60.1</v>
      </c>
      <c r="E120">
        <v>360.6</v>
      </c>
      <c r="F120" s="1">
        <v>45662</v>
      </c>
      <c r="G120" s="1">
        <v>45663</v>
      </c>
      <c r="H120" t="s">
        <v>8</v>
      </c>
      <c r="I120" t="s">
        <v>20</v>
      </c>
      <c r="J120">
        <v>4</v>
      </c>
      <c r="K120" t="s">
        <v>4</v>
      </c>
      <c r="L120" t="s">
        <v>143</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5">
      <c r="A121" t="s">
        <v>175</v>
      </c>
      <c r="B121" t="s">
        <v>7</v>
      </c>
      <c r="C121">
        <v>3</v>
      </c>
      <c r="D121">
        <v>73</v>
      </c>
      <c r="E121">
        <v>219</v>
      </c>
      <c r="F121" s="1">
        <v>45662</v>
      </c>
      <c r="G121" s="1">
        <v>45663</v>
      </c>
      <c r="H121" t="s">
        <v>12</v>
      </c>
      <c r="I121" t="s">
        <v>36</v>
      </c>
      <c r="J121">
        <v>3</v>
      </c>
      <c r="K121" t="s">
        <v>4</v>
      </c>
      <c r="L121" t="s">
        <v>40</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5">
      <c r="A122" t="s">
        <v>176</v>
      </c>
      <c r="B122" t="s">
        <v>24</v>
      </c>
      <c r="C122">
        <v>3</v>
      </c>
      <c r="D122">
        <v>44.3</v>
      </c>
      <c r="E122">
        <v>132.89999999999998</v>
      </c>
      <c r="F122" s="1">
        <v>45662</v>
      </c>
      <c r="G122" s="1">
        <v>45666</v>
      </c>
      <c r="H122" t="s">
        <v>2</v>
      </c>
      <c r="I122" t="s">
        <v>25</v>
      </c>
      <c r="J122">
        <v>5</v>
      </c>
      <c r="K122" t="s">
        <v>4</v>
      </c>
      <c r="L122" t="s">
        <v>40</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5">
      <c r="A123" t="s">
        <v>177</v>
      </c>
      <c r="B123" t="s">
        <v>24</v>
      </c>
      <c r="C123">
        <v>3</v>
      </c>
      <c r="D123">
        <v>63.3</v>
      </c>
      <c r="E123">
        <v>189.89999999999998</v>
      </c>
      <c r="F123" s="1">
        <v>45662</v>
      </c>
      <c r="G123" s="1">
        <v>45663</v>
      </c>
      <c r="H123" t="s">
        <v>8</v>
      </c>
      <c r="I123" t="s">
        <v>25</v>
      </c>
      <c r="J123">
        <v>4</v>
      </c>
      <c r="K123" t="s">
        <v>4</v>
      </c>
      <c r="L123" t="s">
        <v>40</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5">
      <c r="A124" t="s">
        <v>178</v>
      </c>
      <c r="B124" t="s">
        <v>54</v>
      </c>
      <c r="C124">
        <v>1</v>
      </c>
      <c r="D124">
        <v>66.8</v>
      </c>
      <c r="E124">
        <v>66.8</v>
      </c>
      <c r="F124" s="1">
        <v>45662</v>
      </c>
      <c r="G124" s="1">
        <v>45663</v>
      </c>
      <c r="H124" t="s">
        <v>12</v>
      </c>
      <c r="I124" t="s">
        <v>20</v>
      </c>
      <c r="J124">
        <v>4</v>
      </c>
      <c r="K124" t="s">
        <v>4</v>
      </c>
      <c r="L124" t="s">
        <v>40</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5">
      <c r="A125" t="s">
        <v>179</v>
      </c>
      <c r="B125" t="s">
        <v>11</v>
      </c>
      <c r="C125">
        <v>2</v>
      </c>
      <c r="D125">
        <v>59.7</v>
      </c>
      <c r="E125">
        <v>119.4</v>
      </c>
      <c r="F125" s="1">
        <v>45662</v>
      </c>
      <c r="G125" s="1">
        <v>45663</v>
      </c>
      <c r="H125" t="s">
        <v>12</v>
      </c>
      <c r="I125" t="s">
        <v>3</v>
      </c>
      <c r="J125">
        <v>4</v>
      </c>
      <c r="K125" t="s">
        <v>4</v>
      </c>
      <c r="L125" t="s">
        <v>44</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5">
      <c r="A126" t="s">
        <v>180</v>
      </c>
      <c r="B126" t="s">
        <v>7</v>
      </c>
      <c r="C126">
        <v>6</v>
      </c>
      <c r="D126">
        <v>92</v>
      </c>
      <c r="E126">
        <v>552</v>
      </c>
      <c r="F126" s="1">
        <v>45662</v>
      </c>
      <c r="G126" s="1">
        <v>45664</v>
      </c>
      <c r="H126" t="s">
        <v>8</v>
      </c>
      <c r="I126" t="s">
        <v>3</v>
      </c>
      <c r="J126">
        <v>2</v>
      </c>
      <c r="K126" t="s">
        <v>4</v>
      </c>
      <c r="L126" t="s">
        <v>44</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5">
      <c r="A127" t="s">
        <v>181</v>
      </c>
      <c r="B127" t="s">
        <v>27</v>
      </c>
      <c r="C127">
        <v>2</v>
      </c>
      <c r="D127">
        <v>87.6</v>
      </c>
      <c r="E127">
        <v>175.2</v>
      </c>
      <c r="F127" s="1">
        <v>45662</v>
      </c>
      <c r="G127" s="1">
        <v>45664</v>
      </c>
      <c r="H127" t="s">
        <v>8</v>
      </c>
      <c r="I127" t="s">
        <v>20</v>
      </c>
      <c r="J127">
        <v>3</v>
      </c>
      <c r="K127" t="s">
        <v>4</v>
      </c>
      <c r="L127" t="s">
        <v>47</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5">
      <c r="A128" t="s">
        <v>182</v>
      </c>
      <c r="B128" t="s">
        <v>24</v>
      </c>
      <c r="C128">
        <v>3</v>
      </c>
      <c r="D128">
        <v>84.5</v>
      </c>
      <c r="E128">
        <v>253.5</v>
      </c>
      <c r="F128" s="1">
        <v>45662</v>
      </c>
      <c r="G128" s="1">
        <v>45663</v>
      </c>
      <c r="H128" t="s">
        <v>12</v>
      </c>
      <c r="I128" t="s">
        <v>20</v>
      </c>
      <c r="J128">
        <v>3</v>
      </c>
      <c r="K128" t="s">
        <v>4</v>
      </c>
      <c r="L128" t="s">
        <v>47</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5">
      <c r="A129" t="s">
        <v>183</v>
      </c>
      <c r="B129" t="s">
        <v>7</v>
      </c>
      <c r="C129">
        <v>2</v>
      </c>
      <c r="D129">
        <v>116.3</v>
      </c>
      <c r="E129">
        <v>232.6</v>
      </c>
      <c r="F129" s="1">
        <v>45663</v>
      </c>
      <c r="G129" s="1">
        <v>45665</v>
      </c>
      <c r="H129" t="s">
        <v>8</v>
      </c>
      <c r="I129" t="s">
        <v>25</v>
      </c>
      <c r="J129">
        <v>5</v>
      </c>
      <c r="K129" t="s">
        <v>4</v>
      </c>
      <c r="L129" t="s">
        <v>47</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5">
      <c r="A130" t="s">
        <v>184</v>
      </c>
      <c r="B130" t="s">
        <v>24</v>
      </c>
      <c r="C130">
        <v>5</v>
      </c>
      <c r="D130">
        <v>52.7</v>
      </c>
      <c r="E130">
        <v>263.5</v>
      </c>
      <c r="F130" s="1">
        <v>45663</v>
      </c>
      <c r="G130" s="1">
        <v>45667</v>
      </c>
      <c r="H130" t="s">
        <v>8</v>
      </c>
      <c r="I130" t="s">
        <v>3</v>
      </c>
      <c r="J130">
        <v>4</v>
      </c>
      <c r="K130" t="s">
        <v>4</v>
      </c>
      <c r="L130" t="s">
        <v>47</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5">
      <c r="A131" t="s">
        <v>185</v>
      </c>
      <c r="B131" t="s">
        <v>113</v>
      </c>
      <c r="C131">
        <v>3</v>
      </c>
      <c r="D131">
        <v>34.200000000000003</v>
      </c>
      <c r="E131">
        <v>102.60000000000001</v>
      </c>
      <c r="F131" s="1">
        <v>45663</v>
      </c>
      <c r="G131" s="1">
        <v>45664</v>
      </c>
      <c r="H131" t="s">
        <v>8</v>
      </c>
      <c r="I131" t="s">
        <v>3</v>
      </c>
      <c r="J131">
        <v>5</v>
      </c>
      <c r="K131" t="s">
        <v>4</v>
      </c>
      <c r="L131" t="s">
        <v>186</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5">
      <c r="A132" t="s">
        <v>187</v>
      </c>
      <c r="B132" t="s">
        <v>31</v>
      </c>
      <c r="C132">
        <v>1</v>
      </c>
      <c r="D132">
        <v>23.3</v>
      </c>
      <c r="E132">
        <v>23.3</v>
      </c>
      <c r="F132" s="1">
        <v>45663</v>
      </c>
      <c r="G132" s="1">
        <v>45672</v>
      </c>
      <c r="H132" t="s">
        <v>74</v>
      </c>
      <c r="I132" t="s">
        <v>25</v>
      </c>
      <c r="J132">
        <v>5</v>
      </c>
      <c r="K132" t="s">
        <v>4</v>
      </c>
      <c r="L132" t="s">
        <v>57</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5">
      <c r="A133" t="s">
        <v>188</v>
      </c>
      <c r="B133" t="s">
        <v>1</v>
      </c>
      <c r="C133">
        <v>26</v>
      </c>
      <c r="D133">
        <v>25.9</v>
      </c>
      <c r="E133">
        <v>673.4</v>
      </c>
      <c r="F133" s="1">
        <v>45663</v>
      </c>
      <c r="G133" s="1">
        <v>45666</v>
      </c>
      <c r="H133" t="s">
        <v>12</v>
      </c>
      <c r="I133" t="s">
        <v>55</v>
      </c>
      <c r="J133">
        <v>3</v>
      </c>
      <c r="K133" t="s">
        <v>4</v>
      </c>
      <c r="L133" t="s">
        <v>57</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5">
      <c r="A134" t="s">
        <v>189</v>
      </c>
      <c r="B134" t="s">
        <v>24</v>
      </c>
      <c r="C134">
        <v>29</v>
      </c>
      <c r="D134">
        <v>54.9</v>
      </c>
      <c r="E134">
        <v>1592.1</v>
      </c>
      <c r="F134" s="1">
        <v>45663</v>
      </c>
      <c r="G134" s="1">
        <v>45664</v>
      </c>
      <c r="H134" t="s">
        <v>8</v>
      </c>
      <c r="I134" t="s">
        <v>20</v>
      </c>
      <c r="J134">
        <v>5</v>
      </c>
      <c r="K134" t="s">
        <v>4</v>
      </c>
      <c r="L134" t="s">
        <v>57</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5">
      <c r="A135" t="s">
        <v>190</v>
      </c>
      <c r="B135" t="s">
        <v>22</v>
      </c>
      <c r="C135">
        <v>3</v>
      </c>
      <c r="D135">
        <v>75.8</v>
      </c>
      <c r="E135">
        <v>227.39999999999998</v>
      </c>
      <c r="F135" s="1">
        <v>45663</v>
      </c>
      <c r="G135" s="1">
        <v>45668</v>
      </c>
      <c r="H135" t="s">
        <v>74</v>
      </c>
      <c r="I135" t="s">
        <v>20</v>
      </c>
      <c r="J135">
        <v>4</v>
      </c>
      <c r="K135" t="s">
        <v>4</v>
      </c>
      <c r="L135" t="s">
        <v>93</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5">
      <c r="A136" t="s">
        <v>191</v>
      </c>
      <c r="B136" t="s">
        <v>7</v>
      </c>
      <c r="C136">
        <v>9</v>
      </c>
      <c r="D136">
        <v>44.9</v>
      </c>
      <c r="E136">
        <v>404.09999999999997</v>
      </c>
      <c r="F136" s="1">
        <v>45663</v>
      </c>
      <c r="G136" s="1">
        <v>45666</v>
      </c>
      <c r="H136" t="s">
        <v>12</v>
      </c>
      <c r="I136" t="s">
        <v>25</v>
      </c>
      <c r="J136">
        <v>5</v>
      </c>
      <c r="K136" t="s">
        <v>4</v>
      </c>
      <c r="L136" t="s">
        <v>13</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5">
      <c r="A137" t="s">
        <v>192</v>
      </c>
      <c r="B137" t="s">
        <v>52</v>
      </c>
      <c r="C137">
        <v>2</v>
      </c>
      <c r="D137">
        <v>48.8</v>
      </c>
      <c r="E137">
        <v>97.6</v>
      </c>
      <c r="F137" s="1">
        <v>45663</v>
      </c>
      <c r="G137" s="1">
        <v>45665</v>
      </c>
      <c r="H137" t="s">
        <v>12</v>
      </c>
      <c r="I137" t="s">
        <v>36</v>
      </c>
      <c r="J137">
        <v>4</v>
      </c>
      <c r="K137" t="s">
        <v>4</v>
      </c>
      <c r="L137" t="s">
        <v>193</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5">
      <c r="A138" t="s">
        <v>194</v>
      </c>
      <c r="B138" t="s">
        <v>108</v>
      </c>
      <c r="C138">
        <v>1</v>
      </c>
      <c r="D138">
        <v>20.3</v>
      </c>
      <c r="E138">
        <v>20.3</v>
      </c>
      <c r="F138" s="1">
        <v>45663</v>
      </c>
      <c r="G138" s="1">
        <v>45664</v>
      </c>
      <c r="H138" t="s">
        <v>12</v>
      </c>
      <c r="I138" t="s">
        <v>3</v>
      </c>
      <c r="J138">
        <v>5</v>
      </c>
      <c r="K138" t="s">
        <v>4</v>
      </c>
      <c r="L138" t="s">
        <v>132</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5">
      <c r="A139" t="s">
        <v>195</v>
      </c>
      <c r="B139" t="s">
        <v>22</v>
      </c>
      <c r="C139">
        <v>7</v>
      </c>
      <c r="D139">
        <v>36.4</v>
      </c>
      <c r="E139">
        <v>254.79999999999998</v>
      </c>
      <c r="F139" s="1">
        <v>45663</v>
      </c>
      <c r="G139" s="1">
        <v>45666</v>
      </c>
      <c r="H139" t="s">
        <v>12</v>
      </c>
      <c r="I139" t="s">
        <v>3</v>
      </c>
      <c r="J139">
        <v>3</v>
      </c>
      <c r="K139" t="s">
        <v>4</v>
      </c>
      <c r="L139" t="s">
        <v>18</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5">
      <c r="A140" t="s">
        <v>196</v>
      </c>
      <c r="B140" t="s">
        <v>1</v>
      </c>
      <c r="C140">
        <v>1</v>
      </c>
      <c r="D140">
        <v>19</v>
      </c>
      <c r="E140">
        <v>19</v>
      </c>
      <c r="F140" s="1">
        <v>45663</v>
      </c>
      <c r="G140" s="1">
        <v>45668</v>
      </c>
      <c r="H140" t="s">
        <v>12</v>
      </c>
      <c r="I140" t="s">
        <v>20</v>
      </c>
      <c r="J140">
        <v>5</v>
      </c>
      <c r="K140" t="s">
        <v>4</v>
      </c>
      <c r="L140" t="s">
        <v>18</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5">
      <c r="A141" t="s">
        <v>197</v>
      </c>
      <c r="B141" t="s">
        <v>29</v>
      </c>
      <c r="C141">
        <v>1</v>
      </c>
      <c r="D141">
        <v>17.8</v>
      </c>
      <c r="E141">
        <v>17.8</v>
      </c>
      <c r="F141" s="1">
        <v>45663</v>
      </c>
      <c r="G141" s="1">
        <v>45663</v>
      </c>
      <c r="H141" t="s">
        <v>8</v>
      </c>
      <c r="I141" t="s">
        <v>3</v>
      </c>
      <c r="J141">
        <v>4</v>
      </c>
      <c r="K141" t="s">
        <v>4</v>
      </c>
      <c r="L141" t="s">
        <v>18</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5">
      <c r="A142" t="s">
        <v>198</v>
      </c>
      <c r="B142" t="s">
        <v>11</v>
      </c>
      <c r="C142">
        <v>6</v>
      </c>
      <c r="D142">
        <v>139.6</v>
      </c>
      <c r="E142">
        <v>837.59999999999991</v>
      </c>
      <c r="F142" s="1">
        <v>45663</v>
      </c>
      <c r="G142" s="1">
        <v>45666</v>
      </c>
      <c r="H142" t="s">
        <v>8</v>
      </c>
      <c r="I142" t="s">
        <v>3</v>
      </c>
      <c r="J142">
        <v>4</v>
      </c>
      <c r="K142" t="s">
        <v>4</v>
      </c>
      <c r="L142" t="s">
        <v>18</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5">
      <c r="A143" t="s">
        <v>199</v>
      </c>
      <c r="B143" t="s">
        <v>31</v>
      </c>
      <c r="C143">
        <v>1</v>
      </c>
      <c r="D143">
        <v>31.7</v>
      </c>
      <c r="E143">
        <v>31.7</v>
      </c>
      <c r="F143" s="1">
        <v>45663</v>
      </c>
      <c r="G143" s="1">
        <v>45663</v>
      </c>
      <c r="H143" t="s">
        <v>2</v>
      </c>
      <c r="I143" t="s">
        <v>3</v>
      </c>
      <c r="J143">
        <v>4</v>
      </c>
      <c r="K143" t="s">
        <v>4</v>
      </c>
      <c r="L143" t="s">
        <v>18</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5">
      <c r="A144" t="s">
        <v>200</v>
      </c>
      <c r="B144" t="s">
        <v>29</v>
      </c>
      <c r="C144">
        <v>8</v>
      </c>
      <c r="D144">
        <v>26.3</v>
      </c>
      <c r="E144">
        <v>210.4</v>
      </c>
      <c r="F144" s="1">
        <v>45663</v>
      </c>
      <c r="G144" s="1">
        <v>45666</v>
      </c>
      <c r="H144" t="s">
        <v>12</v>
      </c>
      <c r="I144" t="s">
        <v>55</v>
      </c>
      <c r="J144">
        <v>2</v>
      </c>
      <c r="K144" t="s">
        <v>4</v>
      </c>
      <c r="L144" t="s">
        <v>18</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5">
      <c r="A145" t="s">
        <v>201</v>
      </c>
      <c r="B145" t="s">
        <v>17</v>
      </c>
      <c r="C145">
        <v>2</v>
      </c>
      <c r="D145">
        <v>47.8</v>
      </c>
      <c r="E145">
        <v>95.6</v>
      </c>
      <c r="F145" s="1">
        <v>45663</v>
      </c>
      <c r="G145" s="1">
        <v>45664</v>
      </c>
      <c r="H145" t="s">
        <v>2</v>
      </c>
      <c r="I145" t="s">
        <v>3</v>
      </c>
      <c r="J145">
        <v>4</v>
      </c>
      <c r="K145" t="s">
        <v>4</v>
      </c>
      <c r="L145" t="s">
        <v>18</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5">
      <c r="A146" t="s">
        <v>202</v>
      </c>
      <c r="B146" t="s">
        <v>31</v>
      </c>
      <c r="C146">
        <v>3</v>
      </c>
      <c r="D146">
        <v>69.400000000000006</v>
      </c>
      <c r="E146">
        <v>208.20000000000002</v>
      </c>
      <c r="F146" s="1">
        <v>45663</v>
      </c>
      <c r="G146" s="1">
        <v>45667</v>
      </c>
      <c r="H146" t="s">
        <v>12</v>
      </c>
      <c r="I146" t="s">
        <v>3</v>
      </c>
      <c r="J146">
        <v>4</v>
      </c>
      <c r="K146" t="s">
        <v>4</v>
      </c>
      <c r="L146" t="s">
        <v>18</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5">
      <c r="A147" t="s">
        <v>203</v>
      </c>
      <c r="B147" t="s">
        <v>131</v>
      </c>
      <c r="C147">
        <v>12</v>
      </c>
      <c r="D147">
        <v>25.8</v>
      </c>
      <c r="E147">
        <v>309.60000000000002</v>
      </c>
      <c r="F147" s="1">
        <v>45663</v>
      </c>
      <c r="G147" s="1">
        <v>45664</v>
      </c>
      <c r="H147" t="s">
        <v>8</v>
      </c>
      <c r="I147" t="s">
        <v>55</v>
      </c>
      <c r="J147">
        <v>2</v>
      </c>
      <c r="K147" t="s">
        <v>4</v>
      </c>
      <c r="L147" t="s">
        <v>18</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5">
      <c r="A148" t="s">
        <v>204</v>
      </c>
      <c r="B148" t="s">
        <v>1</v>
      </c>
      <c r="C148">
        <v>4</v>
      </c>
      <c r="D148">
        <v>26.4</v>
      </c>
      <c r="E148">
        <v>105.6</v>
      </c>
      <c r="F148" s="1">
        <v>45663</v>
      </c>
      <c r="G148" s="1">
        <v>45664</v>
      </c>
      <c r="H148" t="s">
        <v>8</v>
      </c>
      <c r="I148" t="s">
        <v>20</v>
      </c>
      <c r="J148">
        <v>5</v>
      </c>
      <c r="K148" t="s">
        <v>4</v>
      </c>
      <c r="L148" t="s">
        <v>18</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5">
      <c r="A149" t="s">
        <v>205</v>
      </c>
      <c r="B149" t="s">
        <v>29</v>
      </c>
      <c r="C149">
        <v>4</v>
      </c>
      <c r="D149">
        <v>15.7</v>
      </c>
      <c r="E149">
        <v>62.8</v>
      </c>
      <c r="F149" s="1">
        <v>45663</v>
      </c>
      <c r="G149" s="1">
        <v>45664</v>
      </c>
      <c r="H149" t="s">
        <v>8</v>
      </c>
      <c r="I149" t="s">
        <v>25</v>
      </c>
      <c r="J149">
        <v>4</v>
      </c>
      <c r="K149" t="s">
        <v>4</v>
      </c>
      <c r="L149" t="s">
        <v>18</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5">
      <c r="A150" t="s">
        <v>206</v>
      </c>
      <c r="B150" t="s">
        <v>29</v>
      </c>
      <c r="C150">
        <v>1</v>
      </c>
      <c r="D150">
        <v>39.700000000000003</v>
      </c>
      <c r="E150">
        <v>39.700000000000003</v>
      </c>
      <c r="F150" s="1">
        <v>45663</v>
      </c>
      <c r="G150" s="1">
        <v>45667</v>
      </c>
      <c r="H150" t="s">
        <v>8</v>
      </c>
      <c r="I150" t="s">
        <v>3</v>
      </c>
      <c r="J150">
        <v>4</v>
      </c>
      <c r="K150" t="s">
        <v>4</v>
      </c>
      <c r="L150" t="s">
        <v>18</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5">
      <c r="A151" t="s">
        <v>207</v>
      </c>
      <c r="B151" t="s">
        <v>39</v>
      </c>
      <c r="C151">
        <v>4</v>
      </c>
      <c r="D151">
        <v>31.1</v>
      </c>
      <c r="E151">
        <v>124.4</v>
      </c>
      <c r="F151" s="1">
        <v>45663</v>
      </c>
      <c r="G151" s="1">
        <v>45665</v>
      </c>
      <c r="H151" t="s">
        <v>12</v>
      </c>
      <c r="I151" t="s">
        <v>25</v>
      </c>
      <c r="J151">
        <v>3</v>
      </c>
      <c r="K151" t="s">
        <v>4</v>
      </c>
      <c r="L151" t="s">
        <v>18</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5">
      <c r="A152" t="s">
        <v>208</v>
      </c>
      <c r="B152" t="s">
        <v>61</v>
      </c>
      <c r="C152">
        <v>15</v>
      </c>
      <c r="D152">
        <v>23.4</v>
      </c>
      <c r="E152">
        <v>351</v>
      </c>
      <c r="F152" s="1">
        <v>45663</v>
      </c>
      <c r="G152" s="1">
        <v>45672</v>
      </c>
      <c r="H152" t="s">
        <v>8</v>
      </c>
      <c r="I152" t="s">
        <v>3</v>
      </c>
      <c r="J152">
        <v>4</v>
      </c>
      <c r="K152" t="s">
        <v>4</v>
      </c>
      <c r="L152" t="s">
        <v>18</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5">
      <c r="A153" t="s">
        <v>209</v>
      </c>
      <c r="B153" t="s">
        <v>7</v>
      </c>
      <c r="C153">
        <v>4</v>
      </c>
      <c r="D153">
        <v>57.1</v>
      </c>
      <c r="E153">
        <v>228.4</v>
      </c>
      <c r="F153" s="1">
        <v>45664</v>
      </c>
      <c r="G153" s="1">
        <v>45665</v>
      </c>
      <c r="H153" t="s">
        <v>8</v>
      </c>
      <c r="I153" t="s">
        <v>25</v>
      </c>
      <c r="J153">
        <v>4</v>
      </c>
      <c r="K153" t="s">
        <v>4</v>
      </c>
      <c r="L153" t="s">
        <v>173</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5">
      <c r="A154" t="s">
        <v>210</v>
      </c>
      <c r="B154" t="s">
        <v>11</v>
      </c>
      <c r="C154">
        <v>5</v>
      </c>
      <c r="D154">
        <v>89.9</v>
      </c>
      <c r="E154">
        <v>449.5</v>
      </c>
      <c r="F154" s="1">
        <v>45664</v>
      </c>
      <c r="G154" s="1">
        <v>45664</v>
      </c>
      <c r="H154" t="s">
        <v>12</v>
      </c>
      <c r="I154" t="s">
        <v>3</v>
      </c>
      <c r="J154">
        <v>1</v>
      </c>
      <c r="K154" t="s">
        <v>4</v>
      </c>
      <c r="L154" t="s">
        <v>143</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5">
      <c r="A155" t="s">
        <v>211</v>
      </c>
      <c r="B155" t="s">
        <v>39</v>
      </c>
      <c r="C155">
        <v>7</v>
      </c>
      <c r="D155">
        <v>48.1</v>
      </c>
      <c r="E155">
        <v>336.7</v>
      </c>
      <c r="F155" s="1">
        <v>45664</v>
      </c>
      <c r="G155" s="1">
        <v>45666</v>
      </c>
      <c r="H155" t="s">
        <v>12</v>
      </c>
      <c r="I155" t="s">
        <v>20</v>
      </c>
      <c r="J155">
        <v>5</v>
      </c>
      <c r="K155" t="s">
        <v>4</v>
      </c>
      <c r="L155" t="s">
        <v>40</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5">
      <c r="A156" t="s">
        <v>212</v>
      </c>
      <c r="B156" t="s">
        <v>29</v>
      </c>
      <c r="C156">
        <v>2</v>
      </c>
      <c r="D156">
        <v>29.3</v>
      </c>
      <c r="E156">
        <v>58.6</v>
      </c>
      <c r="F156" s="1">
        <v>45664</v>
      </c>
      <c r="G156" s="1">
        <v>45664</v>
      </c>
      <c r="H156" t="s">
        <v>12</v>
      </c>
      <c r="I156" t="s">
        <v>20</v>
      </c>
      <c r="J156">
        <v>3</v>
      </c>
      <c r="K156" t="s">
        <v>4</v>
      </c>
      <c r="L156" t="s">
        <v>40</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5">
      <c r="A157" t="s">
        <v>213</v>
      </c>
      <c r="B157" t="s">
        <v>29</v>
      </c>
      <c r="C157">
        <v>4</v>
      </c>
      <c r="D157">
        <v>28.8</v>
      </c>
      <c r="E157">
        <v>115.2</v>
      </c>
      <c r="F157" s="1">
        <v>45664</v>
      </c>
      <c r="G157" s="1">
        <v>45665</v>
      </c>
      <c r="H157" t="s">
        <v>12</v>
      </c>
      <c r="I157" t="s">
        <v>3</v>
      </c>
      <c r="J157">
        <v>2</v>
      </c>
      <c r="K157" t="s">
        <v>4</v>
      </c>
      <c r="L157" t="s">
        <v>40</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5">
      <c r="A158" t="s">
        <v>214</v>
      </c>
      <c r="B158" t="s">
        <v>39</v>
      </c>
      <c r="C158">
        <v>5</v>
      </c>
      <c r="D158">
        <v>40.5</v>
      </c>
      <c r="E158">
        <v>202.5</v>
      </c>
      <c r="F158" s="1">
        <v>45664</v>
      </c>
      <c r="G158" s="1">
        <v>45668</v>
      </c>
      <c r="H158" t="s">
        <v>12</v>
      </c>
      <c r="I158" t="s">
        <v>36</v>
      </c>
      <c r="J158">
        <v>4</v>
      </c>
      <c r="K158" t="s">
        <v>4</v>
      </c>
      <c r="L158" t="s">
        <v>40</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5">
      <c r="A159" t="s">
        <v>215</v>
      </c>
      <c r="B159" t="s">
        <v>131</v>
      </c>
      <c r="C159">
        <v>14</v>
      </c>
      <c r="D159">
        <v>65.099999999999994</v>
      </c>
      <c r="E159">
        <v>911.39999999999986</v>
      </c>
      <c r="F159" s="1">
        <v>45664</v>
      </c>
      <c r="G159" s="1">
        <v>45665</v>
      </c>
      <c r="H159" t="s">
        <v>12</v>
      </c>
      <c r="I159" t="s">
        <v>55</v>
      </c>
      <c r="J159">
        <v>4</v>
      </c>
      <c r="K159" t="s">
        <v>4</v>
      </c>
      <c r="L159" t="s">
        <v>44</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5">
      <c r="A160" t="s">
        <v>216</v>
      </c>
      <c r="B160" t="s">
        <v>29</v>
      </c>
      <c r="C160">
        <v>4</v>
      </c>
      <c r="D160">
        <v>40.299999999999997</v>
      </c>
      <c r="E160">
        <v>161.19999999999999</v>
      </c>
      <c r="F160" s="1">
        <v>45664</v>
      </c>
      <c r="G160" s="1">
        <v>45669</v>
      </c>
      <c r="H160" t="s">
        <v>12</v>
      </c>
      <c r="I160" t="s">
        <v>25</v>
      </c>
      <c r="J160">
        <v>4</v>
      </c>
      <c r="K160" t="s">
        <v>4</v>
      </c>
      <c r="L160" t="s">
        <v>44</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5">
      <c r="A161" t="s">
        <v>217</v>
      </c>
      <c r="B161" t="s">
        <v>24</v>
      </c>
      <c r="C161">
        <v>5</v>
      </c>
      <c r="D161">
        <v>51.8</v>
      </c>
      <c r="E161">
        <v>259</v>
      </c>
      <c r="F161" s="1">
        <v>45664</v>
      </c>
      <c r="G161" s="1">
        <v>45665</v>
      </c>
      <c r="H161" t="s">
        <v>8</v>
      </c>
      <c r="I161" t="s">
        <v>25</v>
      </c>
      <c r="J161">
        <v>5</v>
      </c>
      <c r="K161" t="s">
        <v>4</v>
      </c>
      <c r="L161" t="s">
        <v>47</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5">
      <c r="A162" t="s">
        <v>218</v>
      </c>
      <c r="B162" t="s">
        <v>24</v>
      </c>
      <c r="C162">
        <v>3</v>
      </c>
      <c r="D162">
        <v>61.3</v>
      </c>
      <c r="E162">
        <v>183.89999999999998</v>
      </c>
      <c r="F162" s="1">
        <v>45664</v>
      </c>
      <c r="G162" s="1">
        <v>45665</v>
      </c>
      <c r="H162" t="s">
        <v>12</v>
      </c>
      <c r="I162" t="s">
        <v>36</v>
      </c>
      <c r="J162">
        <v>4</v>
      </c>
      <c r="K162" t="s">
        <v>4</v>
      </c>
      <c r="L162" t="s">
        <v>47</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5">
      <c r="A163" t="s">
        <v>219</v>
      </c>
      <c r="B163" t="s">
        <v>11</v>
      </c>
      <c r="C163">
        <v>4</v>
      </c>
      <c r="D163">
        <v>122.5</v>
      </c>
      <c r="E163">
        <v>490</v>
      </c>
      <c r="F163" s="1">
        <v>45664</v>
      </c>
      <c r="G163" s="1">
        <v>45665</v>
      </c>
      <c r="H163" t="s">
        <v>8</v>
      </c>
      <c r="I163" t="s">
        <v>3</v>
      </c>
      <c r="J163">
        <v>4</v>
      </c>
      <c r="K163" t="s">
        <v>4</v>
      </c>
      <c r="L163" t="s">
        <v>47</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5">
      <c r="A164" t="s">
        <v>220</v>
      </c>
      <c r="B164" t="s">
        <v>1</v>
      </c>
      <c r="C164">
        <v>9</v>
      </c>
      <c r="D164">
        <v>12.5</v>
      </c>
      <c r="E164">
        <v>112.5</v>
      </c>
      <c r="F164" s="1">
        <v>45664</v>
      </c>
      <c r="G164" s="1">
        <v>45665</v>
      </c>
      <c r="H164" t="s">
        <v>2</v>
      </c>
      <c r="I164" t="s">
        <v>20</v>
      </c>
      <c r="J164">
        <v>5</v>
      </c>
      <c r="K164" t="s">
        <v>4</v>
      </c>
      <c r="L164" t="s">
        <v>47</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5">
      <c r="A165" t="s">
        <v>221</v>
      </c>
      <c r="B165" t="s">
        <v>108</v>
      </c>
      <c r="C165">
        <v>8</v>
      </c>
      <c r="D165">
        <v>37.5</v>
      </c>
      <c r="E165">
        <v>300</v>
      </c>
      <c r="F165" s="1">
        <v>45664</v>
      </c>
      <c r="G165" s="1">
        <v>45665</v>
      </c>
      <c r="H165" t="s">
        <v>12</v>
      </c>
      <c r="I165" t="s">
        <v>3</v>
      </c>
      <c r="J165">
        <v>4</v>
      </c>
      <c r="K165" t="s">
        <v>4</v>
      </c>
      <c r="L165" t="s">
        <v>57</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5">
      <c r="A166" t="s">
        <v>222</v>
      </c>
      <c r="B166" t="s">
        <v>24</v>
      </c>
      <c r="C166">
        <v>3</v>
      </c>
      <c r="D166">
        <v>40</v>
      </c>
      <c r="E166">
        <v>120</v>
      </c>
      <c r="F166" s="1">
        <v>45664</v>
      </c>
      <c r="G166" s="1">
        <v>45667</v>
      </c>
      <c r="H166" t="s">
        <v>8</v>
      </c>
      <c r="I166" t="s">
        <v>3</v>
      </c>
      <c r="J166">
        <v>2</v>
      </c>
      <c r="K166" t="s">
        <v>4</v>
      </c>
      <c r="L166" t="s">
        <v>62</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5">
      <c r="A167" t="s">
        <v>223</v>
      </c>
      <c r="B167" t="s">
        <v>120</v>
      </c>
      <c r="C167">
        <v>8</v>
      </c>
      <c r="D167">
        <v>38.5</v>
      </c>
      <c r="E167">
        <v>308</v>
      </c>
      <c r="F167" s="1">
        <v>45664</v>
      </c>
      <c r="G167" s="1">
        <v>45669</v>
      </c>
      <c r="H167" t="s">
        <v>12</v>
      </c>
      <c r="I167" t="s">
        <v>25</v>
      </c>
      <c r="J167">
        <v>3</v>
      </c>
      <c r="K167" t="s">
        <v>4</v>
      </c>
      <c r="L167" t="s">
        <v>62</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5">
      <c r="A168" t="s">
        <v>224</v>
      </c>
      <c r="B168" t="s">
        <v>11</v>
      </c>
      <c r="C168">
        <v>2</v>
      </c>
      <c r="D168">
        <v>86.4</v>
      </c>
      <c r="E168">
        <v>172.8</v>
      </c>
      <c r="F168" s="1">
        <v>45664</v>
      </c>
      <c r="G168" s="1">
        <v>45666</v>
      </c>
      <c r="H168" t="s">
        <v>12</v>
      </c>
      <c r="I168" t="s">
        <v>3</v>
      </c>
      <c r="J168">
        <v>4</v>
      </c>
      <c r="K168" t="s">
        <v>4</v>
      </c>
      <c r="L168" t="s">
        <v>93</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5">
      <c r="A169" t="s">
        <v>225</v>
      </c>
      <c r="B169" t="s">
        <v>39</v>
      </c>
      <c r="C169">
        <v>1</v>
      </c>
      <c r="D169">
        <v>50.7</v>
      </c>
      <c r="E169">
        <v>50.7</v>
      </c>
      <c r="F169" s="1">
        <v>45664</v>
      </c>
      <c r="G169" s="1">
        <v>45668</v>
      </c>
      <c r="H169" t="s">
        <v>12</v>
      </c>
      <c r="I169" t="s">
        <v>20</v>
      </c>
      <c r="J169">
        <v>4</v>
      </c>
      <c r="K169" t="s">
        <v>4</v>
      </c>
      <c r="L169" t="s">
        <v>93</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5">
      <c r="A170" t="s">
        <v>226</v>
      </c>
      <c r="B170" t="s">
        <v>39</v>
      </c>
      <c r="C170">
        <v>2</v>
      </c>
      <c r="D170">
        <v>61</v>
      </c>
      <c r="E170">
        <v>122</v>
      </c>
      <c r="F170" s="1">
        <v>45664</v>
      </c>
      <c r="G170" s="1">
        <v>45675</v>
      </c>
      <c r="H170" t="s">
        <v>12</v>
      </c>
      <c r="I170" t="s">
        <v>55</v>
      </c>
      <c r="J170">
        <v>3</v>
      </c>
      <c r="K170" t="s">
        <v>4</v>
      </c>
      <c r="L170" t="s">
        <v>93</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5">
      <c r="A171" t="s">
        <v>227</v>
      </c>
      <c r="B171" t="s">
        <v>17</v>
      </c>
      <c r="C171">
        <v>2</v>
      </c>
      <c r="D171">
        <v>19.899999999999999</v>
      </c>
      <c r="E171">
        <v>39.799999999999997</v>
      </c>
      <c r="F171" s="1">
        <v>45664</v>
      </c>
      <c r="G171" s="1">
        <v>45667</v>
      </c>
      <c r="H171" t="s">
        <v>12</v>
      </c>
      <c r="I171" t="s">
        <v>20</v>
      </c>
      <c r="J171">
        <v>4</v>
      </c>
      <c r="K171" t="s">
        <v>4</v>
      </c>
      <c r="L171" t="s">
        <v>228</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5">
      <c r="A172" t="s">
        <v>229</v>
      </c>
      <c r="B172" t="s">
        <v>22</v>
      </c>
      <c r="C172">
        <v>1</v>
      </c>
      <c r="D172">
        <v>78.3</v>
      </c>
      <c r="E172">
        <v>78.3</v>
      </c>
      <c r="F172" s="1">
        <v>45664</v>
      </c>
      <c r="G172" s="1">
        <v>45664</v>
      </c>
      <c r="H172" t="s">
        <v>12</v>
      </c>
      <c r="I172" t="s">
        <v>3</v>
      </c>
      <c r="J172">
        <v>5</v>
      </c>
      <c r="K172" t="s">
        <v>4</v>
      </c>
      <c r="L172" t="s">
        <v>9</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5">
      <c r="A173" t="s">
        <v>230</v>
      </c>
      <c r="B173" t="s">
        <v>1</v>
      </c>
      <c r="C173">
        <v>19</v>
      </c>
      <c r="D173">
        <v>10.4</v>
      </c>
      <c r="E173">
        <v>197.6</v>
      </c>
      <c r="F173" s="1">
        <v>45664</v>
      </c>
      <c r="G173" s="1">
        <v>45666</v>
      </c>
      <c r="H173" t="s">
        <v>8</v>
      </c>
      <c r="I173" t="s">
        <v>3</v>
      </c>
      <c r="J173">
        <v>5</v>
      </c>
      <c r="K173" t="s">
        <v>4</v>
      </c>
      <c r="L173" t="s">
        <v>13</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5">
      <c r="A174" t="s">
        <v>231</v>
      </c>
      <c r="B174" t="s">
        <v>39</v>
      </c>
      <c r="C174">
        <v>1</v>
      </c>
      <c r="D174">
        <v>36.1</v>
      </c>
      <c r="E174">
        <v>36.1</v>
      </c>
      <c r="F174" s="1">
        <v>45664</v>
      </c>
      <c r="G174" s="1">
        <v>45667</v>
      </c>
      <c r="H174" t="s">
        <v>8</v>
      </c>
      <c r="I174" t="s">
        <v>36</v>
      </c>
      <c r="J174">
        <v>5</v>
      </c>
      <c r="K174" t="s">
        <v>4</v>
      </c>
      <c r="L174" t="s">
        <v>18</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5">
      <c r="A175" t="s">
        <v>232</v>
      </c>
      <c r="B175" t="s">
        <v>66</v>
      </c>
      <c r="C175">
        <v>2</v>
      </c>
      <c r="D175">
        <v>17.3</v>
      </c>
      <c r="E175">
        <v>34.6</v>
      </c>
      <c r="F175" s="1">
        <v>45664</v>
      </c>
      <c r="G175" s="1">
        <v>45666</v>
      </c>
      <c r="H175" t="s">
        <v>12</v>
      </c>
      <c r="I175" t="s">
        <v>20</v>
      </c>
      <c r="J175">
        <v>5</v>
      </c>
      <c r="K175" t="s">
        <v>4</v>
      </c>
      <c r="L175" t="s">
        <v>18</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5">
      <c r="A176" t="s">
        <v>233</v>
      </c>
      <c r="B176" t="s">
        <v>39</v>
      </c>
      <c r="C176">
        <v>2</v>
      </c>
      <c r="D176">
        <v>30.5</v>
      </c>
      <c r="E176">
        <v>61</v>
      </c>
      <c r="F176" s="1">
        <v>45664</v>
      </c>
      <c r="G176" s="1">
        <v>45665</v>
      </c>
      <c r="H176" t="s">
        <v>12</v>
      </c>
      <c r="I176" t="s">
        <v>20</v>
      </c>
      <c r="J176">
        <v>5</v>
      </c>
      <c r="K176" t="s">
        <v>4</v>
      </c>
      <c r="L176" t="s">
        <v>18</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5">
      <c r="A177" t="s">
        <v>234</v>
      </c>
      <c r="B177" t="s">
        <v>131</v>
      </c>
      <c r="C177">
        <v>62</v>
      </c>
      <c r="D177">
        <v>70.099999999999994</v>
      </c>
      <c r="E177">
        <v>4346.2</v>
      </c>
      <c r="F177" s="1">
        <v>45664</v>
      </c>
      <c r="G177" s="1">
        <v>45664</v>
      </c>
      <c r="H177" t="s">
        <v>12</v>
      </c>
      <c r="I177" t="s">
        <v>25</v>
      </c>
      <c r="J177">
        <v>4</v>
      </c>
      <c r="K177" t="s">
        <v>4</v>
      </c>
      <c r="L177" t="s">
        <v>18</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5">
      <c r="A178" t="s">
        <v>235</v>
      </c>
      <c r="B178" t="s">
        <v>15</v>
      </c>
      <c r="C178">
        <v>1</v>
      </c>
      <c r="D178">
        <v>76.099999999999994</v>
      </c>
      <c r="E178">
        <v>76.099999999999994</v>
      </c>
      <c r="F178" s="1">
        <v>45664</v>
      </c>
      <c r="G178" s="1">
        <v>45664</v>
      </c>
      <c r="H178" t="s">
        <v>12</v>
      </c>
      <c r="I178" t="s">
        <v>25</v>
      </c>
      <c r="J178">
        <v>3</v>
      </c>
      <c r="K178" t="s">
        <v>4</v>
      </c>
      <c r="L178" t="s">
        <v>18</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5">
      <c r="A179" t="s">
        <v>236</v>
      </c>
      <c r="B179" t="s">
        <v>108</v>
      </c>
      <c r="C179">
        <v>13</v>
      </c>
      <c r="D179">
        <v>34.200000000000003</v>
      </c>
      <c r="E179">
        <v>444.6</v>
      </c>
      <c r="F179" s="1">
        <v>45664</v>
      </c>
      <c r="G179" s="1">
        <v>45665</v>
      </c>
      <c r="H179" t="s">
        <v>8</v>
      </c>
      <c r="I179" t="s">
        <v>3</v>
      </c>
      <c r="J179">
        <v>4</v>
      </c>
      <c r="K179" t="s">
        <v>4</v>
      </c>
      <c r="L179" t="s">
        <v>18</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5">
      <c r="A180" t="s">
        <v>237</v>
      </c>
      <c r="B180" t="s">
        <v>29</v>
      </c>
      <c r="C180">
        <v>5</v>
      </c>
      <c r="D180">
        <v>30.3</v>
      </c>
      <c r="E180">
        <v>151.5</v>
      </c>
      <c r="F180" s="1">
        <v>45664</v>
      </c>
      <c r="G180" s="1">
        <v>45669</v>
      </c>
      <c r="H180" t="s">
        <v>12</v>
      </c>
      <c r="I180" t="s">
        <v>55</v>
      </c>
      <c r="J180">
        <v>4</v>
      </c>
      <c r="K180" t="s">
        <v>4</v>
      </c>
      <c r="L180" t="s">
        <v>18</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5">
      <c r="A181" t="s">
        <v>238</v>
      </c>
      <c r="B181" t="s">
        <v>24</v>
      </c>
      <c r="C181">
        <v>5</v>
      </c>
      <c r="D181">
        <v>52.5</v>
      </c>
      <c r="E181">
        <v>262.5</v>
      </c>
      <c r="F181" s="1">
        <v>45664</v>
      </c>
      <c r="G181" s="1">
        <v>45668</v>
      </c>
      <c r="H181" t="s">
        <v>2</v>
      </c>
      <c r="I181" t="s">
        <v>36</v>
      </c>
      <c r="J181">
        <v>4</v>
      </c>
      <c r="K181" t="s">
        <v>4</v>
      </c>
      <c r="L181" t="s">
        <v>18</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5">
      <c r="A182" t="s">
        <v>239</v>
      </c>
      <c r="B182" t="s">
        <v>31</v>
      </c>
      <c r="C182">
        <v>11</v>
      </c>
      <c r="D182">
        <v>28.7</v>
      </c>
      <c r="E182">
        <v>315.7</v>
      </c>
      <c r="F182" s="1">
        <v>45664</v>
      </c>
      <c r="G182" s="1">
        <v>45665</v>
      </c>
      <c r="H182" t="s">
        <v>12</v>
      </c>
      <c r="I182" t="s">
        <v>25</v>
      </c>
      <c r="J182">
        <v>4</v>
      </c>
      <c r="K182" t="s">
        <v>4</v>
      </c>
      <c r="L182" t="s">
        <v>18</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5">
      <c r="A183" t="s">
        <v>240</v>
      </c>
      <c r="B183" t="s">
        <v>27</v>
      </c>
      <c r="C183">
        <v>7</v>
      </c>
      <c r="D183">
        <v>52</v>
      </c>
      <c r="E183">
        <v>364</v>
      </c>
      <c r="F183" s="1">
        <v>45664</v>
      </c>
      <c r="G183" s="1">
        <v>45665</v>
      </c>
      <c r="H183" t="s">
        <v>8</v>
      </c>
      <c r="I183" t="s">
        <v>20</v>
      </c>
      <c r="J183">
        <v>2</v>
      </c>
      <c r="K183" t="s">
        <v>4</v>
      </c>
      <c r="L183" t="s">
        <v>18</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5">
      <c r="A184" t="s">
        <v>241</v>
      </c>
      <c r="B184" t="s">
        <v>1</v>
      </c>
      <c r="C184">
        <v>1</v>
      </c>
      <c r="D184">
        <v>13.3</v>
      </c>
      <c r="E184">
        <v>13.3</v>
      </c>
      <c r="F184" s="1">
        <v>45665</v>
      </c>
      <c r="G184" s="1">
        <v>45669</v>
      </c>
      <c r="H184" t="s">
        <v>12</v>
      </c>
      <c r="I184" t="s">
        <v>25</v>
      </c>
      <c r="J184">
        <v>3</v>
      </c>
      <c r="K184" t="s">
        <v>4</v>
      </c>
      <c r="L184" t="s">
        <v>18</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5">
      <c r="A185" t="s">
        <v>242</v>
      </c>
      <c r="B185" t="s">
        <v>1</v>
      </c>
      <c r="C185">
        <v>3</v>
      </c>
      <c r="D185">
        <v>15.7</v>
      </c>
      <c r="E185">
        <v>47.099999999999994</v>
      </c>
      <c r="F185" s="1">
        <v>45665</v>
      </c>
      <c r="G185" s="1">
        <v>45666</v>
      </c>
      <c r="H185" t="s">
        <v>12</v>
      </c>
      <c r="I185" t="s">
        <v>20</v>
      </c>
      <c r="J185">
        <v>4</v>
      </c>
      <c r="K185" t="s">
        <v>4</v>
      </c>
      <c r="L185" t="s">
        <v>243</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5">
      <c r="A186" t="s">
        <v>244</v>
      </c>
      <c r="B186" t="s">
        <v>29</v>
      </c>
      <c r="C186">
        <v>2</v>
      </c>
      <c r="D186">
        <v>25.6</v>
      </c>
      <c r="E186">
        <v>51.2</v>
      </c>
      <c r="F186" s="1">
        <v>45665</v>
      </c>
      <c r="G186" s="1">
        <v>45666</v>
      </c>
      <c r="H186" t="s">
        <v>8</v>
      </c>
      <c r="I186" t="s">
        <v>3</v>
      </c>
      <c r="J186">
        <v>5</v>
      </c>
      <c r="K186" t="s">
        <v>4</v>
      </c>
      <c r="L186" t="s">
        <v>143</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5">
      <c r="A187" t="s">
        <v>245</v>
      </c>
      <c r="B187" t="s">
        <v>29</v>
      </c>
      <c r="C187">
        <v>1</v>
      </c>
      <c r="D187">
        <v>43.4</v>
      </c>
      <c r="E187">
        <v>43.4</v>
      </c>
      <c r="F187" s="1">
        <v>45665</v>
      </c>
      <c r="G187" s="1">
        <v>45670</v>
      </c>
      <c r="H187" t="s">
        <v>8</v>
      </c>
      <c r="I187" t="s">
        <v>3</v>
      </c>
      <c r="J187">
        <v>4</v>
      </c>
      <c r="K187" t="s">
        <v>4</v>
      </c>
      <c r="L187" t="s">
        <v>40</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5">
      <c r="A188" t="s">
        <v>246</v>
      </c>
      <c r="B188" t="s">
        <v>52</v>
      </c>
      <c r="C188">
        <v>9</v>
      </c>
      <c r="D188">
        <v>33.4</v>
      </c>
      <c r="E188">
        <v>300.59999999999997</v>
      </c>
      <c r="F188" s="1">
        <v>45665</v>
      </c>
      <c r="G188" s="1">
        <v>45665</v>
      </c>
      <c r="H188" t="s">
        <v>12</v>
      </c>
      <c r="I188" t="s">
        <v>3</v>
      </c>
      <c r="J188">
        <v>4</v>
      </c>
      <c r="K188" t="s">
        <v>4</v>
      </c>
      <c r="L188" t="s">
        <v>47</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5">
      <c r="A189" t="s">
        <v>247</v>
      </c>
      <c r="B189" t="s">
        <v>29</v>
      </c>
      <c r="C189">
        <v>19</v>
      </c>
      <c r="D189">
        <v>55</v>
      </c>
      <c r="E189">
        <v>1045</v>
      </c>
      <c r="F189" s="1">
        <v>45665</v>
      </c>
      <c r="G189" s="1">
        <v>45666</v>
      </c>
      <c r="H189" t="s">
        <v>12</v>
      </c>
      <c r="I189" t="s">
        <v>20</v>
      </c>
      <c r="J189">
        <v>5</v>
      </c>
      <c r="K189" t="s">
        <v>4</v>
      </c>
      <c r="L189" t="s">
        <v>47</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5">
      <c r="A190" t="s">
        <v>248</v>
      </c>
      <c r="B190" t="s">
        <v>29</v>
      </c>
      <c r="C190">
        <v>3</v>
      </c>
      <c r="D190">
        <v>23.6</v>
      </c>
      <c r="E190">
        <v>70.800000000000011</v>
      </c>
      <c r="F190" s="1">
        <v>45665</v>
      </c>
      <c r="G190" s="1">
        <v>45666</v>
      </c>
      <c r="H190" t="s">
        <v>8</v>
      </c>
      <c r="I190" t="s">
        <v>3</v>
      </c>
      <c r="J190">
        <v>5</v>
      </c>
      <c r="K190" t="s">
        <v>4</v>
      </c>
      <c r="L190" t="s">
        <v>47</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5">
      <c r="A191" t="s">
        <v>249</v>
      </c>
      <c r="B191" t="s">
        <v>54</v>
      </c>
      <c r="C191">
        <v>9</v>
      </c>
      <c r="D191">
        <v>104</v>
      </c>
      <c r="E191">
        <v>936</v>
      </c>
      <c r="F191" s="1">
        <v>45665</v>
      </c>
      <c r="G191" s="1">
        <v>45667</v>
      </c>
      <c r="H191" t="s">
        <v>12</v>
      </c>
      <c r="I191" t="s">
        <v>25</v>
      </c>
      <c r="J191">
        <v>5</v>
      </c>
      <c r="K191" t="s">
        <v>4</v>
      </c>
      <c r="L191" t="s">
        <v>88</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5">
      <c r="A192" t="s">
        <v>250</v>
      </c>
      <c r="B192" t="s">
        <v>24</v>
      </c>
      <c r="C192">
        <v>2</v>
      </c>
      <c r="D192">
        <v>51.8</v>
      </c>
      <c r="E192">
        <v>103.6</v>
      </c>
      <c r="F192" s="1">
        <v>45665</v>
      </c>
      <c r="G192" s="1">
        <v>45669</v>
      </c>
      <c r="H192" t="s">
        <v>2</v>
      </c>
      <c r="I192" t="s">
        <v>3</v>
      </c>
      <c r="J192">
        <v>5</v>
      </c>
      <c r="K192" t="s">
        <v>4</v>
      </c>
      <c r="L192" t="s">
        <v>59</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5">
      <c r="A193" t="s">
        <v>251</v>
      </c>
      <c r="B193" t="s">
        <v>39</v>
      </c>
      <c r="C193">
        <v>5</v>
      </c>
      <c r="D193">
        <v>34.5</v>
      </c>
      <c r="E193">
        <v>172.5</v>
      </c>
      <c r="F193" s="1">
        <v>45665</v>
      </c>
      <c r="G193" s="1">
        <v>45667</v>
      </c>
      <c r="H193" t="s">
        <v>2</v>
      </c>
      <c r="I193" t="s">
        <v>25</v>
      </c>
      <c r="J193">
        <v>5</v>
      </c>
      <c r="K193" t="s">
        <v>4</v>
      </c>
      <c r="L193" t="s">
        <v>62</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5">
      <c r="A194" t="s">
        <v>252</v>
      </c>
      <c r="B194" t="s">
        <v>24</v>
      </c>
      <c r="C194">
        <v>2</v>
      </c>
      <c r="D194">
        <v>51.8</v>
      </c>
      <c r="E194">
        <v>103.6</v>
      </c>
      <c r="F194" s="1">
        <v>45665</v>
      </c>
      <c r="G194" s="1">
        <v>45667</v>
      </c>
      <c r="H194" t="s">
        <v>8</v>
      </c>
      <c r="I194" t="s">
        <v>20</v>
      </c>
      <c r="J194">
        <v>5</v>
      </c>
      <c r="K194" t="s">
        <v>4</v>
      </c>
      <c r="L194" t="s">
        <v>253</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5">
      <c r="A195" t="s">
        <v>254</v>
      </c>
      <c r="B195" t="s">
        <v>131</v>
      </c>
      <c r="C195">
        <v>43</v>
      </c>
      <c r="D195">
        <v>131.5</v>
      </c>
      <c r="E195">
        <v>5654.5</v>
      </c>
      <c r="F195" s="1">
        <v>45665</v>
      </c>
      <c r="G195" s="1">
        <v>45666</v>
      </c>
      <c r="H195" t="s">
        <v>12</v>
      </c>
      <c r="I195" t="s">
        <v>3</v>
      </c>
      <c r="J195">
        <v>5</v>
      </c>
      <c r="K195" t="s">
        <v>4</v>
      </c>
      <c r="L195" t="s">
        <v>93</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5">
      <c r="A196" t="s">
        <v>255</v>
      </c>
      <c r="B196" t="s">
        <v>29</v>
      </c>
      <c r="C196">
        <v>7</v>
      </c>
      <c r="D196">
        <v>47.8</v>
      </c>
      <c r="E196">
        <v>334.59999999999997</v>
      </c>
      <c r="F196" s="1">
        <v>45665</v>
      </c>
      <c r="G196" s="1">
        <v>45665</v>
      </c>
      <c r="H196" t="s">
        <v>12</v>
      </c>
      <c r="I196" t="s">
        <v>3</v>
      </c>
      <c r="J196">
        <v>4</v>
      </c>
      <c r="K196" t="s">
        <v>4</v>
      </c>
      <c r="L196" t="s">
        <v>95</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5">
      <c r="A197" t="s">
        <v>256</v>
      </c>
      <c r="B197" t="s">
        <v>1</v>
      </c>
      <c r="C197">
        <v>2</v>
      </c>
      <c r="D197">
        <v>10.199999999999999</v>
      </c>
      <c r="E197">
        <v>20.399999999999999</v>
      </c>
      <c r="F197" s="1">
        <v>45665</v>
      </c>
      <c r="G197" s="1">
        <v>45667</v>
      </c>
      <c r="H197" t="s">
        <v>12</v>
      </c>
      <c r="I197" t="s">
        <v>3</v>
      </c>
      <c r="J197">
        <v>4</v>
      </c>
      <c r="K197" t="s">
        <v>4</v>
      </c>
      <c r="L197" t="s">
        <v>95</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5">
      <c r="A198" t="s">
        <v>257</v>
      </c>
      <c r="B198" t="s">
        <v>29</v>
      </c>
      <c r="C198">
        <v>8</v>
      </c>
      <c r="D198">
        <v>41</v>
      </c>
      <c r="E198">
        <v>328</v>
      </c>
      <c r="F198" s="1">
        <v>45665</v>
      </c>
      <c r="G198" s="1">
        <v>45665</v>
      </c>
      <c r="H198" t="s">
        <v>12</v>
      </c>
      <c r="I198" t="s">
        <v>20</v>
      </c>
      <c r="J198">
        <v>5</v>
      </c>
      <c r="K198" t="s">
        <v>4</v>
      </c>
      <c r="L198" t="s">
        <v>95</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5">
      <c r="A199" t="s">
        <v>258</v>
      </c>
      <c r="B199" t="s">
        <v>39</v>
      </c>
      <c r="C199">
        <v>7</v>
      </c>
      <c r="D199">
        <v>50.8</v>
      </c>
      <c r="E199">
        <v>355.59999999999997</v>
      </c>
      <c r="F199" s="1">
        <v>45665</v>
      </c>
      <c r="G199" s="1">
        <v>45668</v>
      </c>
      <c r="H199" t="s">
        <v>12</v>
      </c>
      <c r="I199" t="s">
        <v>20</v>
      </c>
      <c r="J199">
        <v>4</v>
      </c>
      <c r="K199" t="s">
        <v>4</v>
      </c>
      <c r="L199" t="s">
        <v>100</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5">
      <c r="A200" t="s">
        <v>259</v>
      </c>
      <c r="B200" t="s">
        <v>131</v>
      </c>
      <c r="C200">
        <v>3</v>
      </c>
      <c r="D200">
        <v>39.6</v>
      </c>
      <c r="E200">
        <v>118.80000000000001</v>
      </c>
      <c r="F200" s="1">
        <v>45665</v>
      </c>
      <c r="G200" s="1">
        <v>45666</v>
      </c>
      <c r="H200" t="s">
        <v>8</v>
      </c>
      <c r="I200" t="s">
        <v>25</v>
      </c>
      <c r="J200">
        <v>5</v>
      </c>
      <c r="K200" t="s">
        <v>4</v>
      </c>
      <c r="L200" t="s">
        <v>9</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5">
      <c r="A201" t="s">
        <v>260</v>
      </c>
      <c r="B201" t="s">
        <v>22</v>
      </c>
      <c r="C201">
        <v>2</v>
      </c>
      <c r="D201">
        <v>69.5</v>
      </c>
      <c r="E201">
        <v>139</v>
      </c>
      <c r="F201" s="1">
        <v>45665</v>
      </c>
      <c r="G201" s="1">
        <v>45667</v>
      </c>
      <c r="H201" t="s">
        <v>8</v>
      </c>
      <c r="I201" t="s">
        <v>3</v>
      </c>
      <c r="J201">
        <v>5</v>
      </c>
      <c r="K201" t="s">
        <v>4</v>
      </c>
      <c r="L201" t="s">
        <v>13</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5">
      <c r="A202" t="s">
        <v>261</v>
      </c>
      <c r="B202" t="s">
        <v>29</v>
      </c>
      <c r="C202">
        <v>8</v>
      </c>
      <c r="D202">
        <v>32.6</v>
      </c>
      <c r="E202">
        <v>260.8</v>
      </c>
      <c r="F202" s="1">
        <v>45665</v>
      </c>
      <c r="G202" s="1">
        <v>45668</v>
      </c>
      <c r="H202" t="s">
        <v>8</v>
      </c>
      <c r="I202" t="s">
        <v>20</v>
      </c>
      <c r="J202">
        <v>4</v>
      </c>
      <c r="K202" t="s">
        <v>4</v>
      </c>
      <c r="L202" t="s">
        <v>18</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5">
      <c r="A203" t="s">
        <v>262</v>
      </c>
      <c r="B203" t="s">
        <v>27</v>
      </c>
      <c r="C203">
        <v>2</v>
      </c>
      <c r="D203">
        <v>49.1</v>
      </c>
      <c r="E203">
        <v>98.2</v>
      </c>
      <c r="F203" s="1">
        <v>45665</v>
      </c>
      <c r="G203" s="1">
        <v>45673</v>
      </c>
      <c r="H203" t="s">
        <v>8</v>
      </c>
      <c r="I203" t="s">
        <v>36</v>
      </c>
      <c r="J203">
        <v>5</v>
      </c>
      <c r="K203" t="s">
        <v>4</v>
      </c>
      <c r="L203" t="s">
        <v>18</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5">
      <c r="A204" t="s">
        <v>263</v>
      </c>
      <c r="B204" t="s">
        <v>24</v>
      </c>
      <c r="C204">
        <v>2</v>
      </c>
      <c r="D204">
        <v>49.4</v>
      </c>
      <c r="E204">
        <v>98.8</v>
      </c>
      <c r="F204" s="1">
        <v>45666</v>
      </c>
      <c r="G204" s="1">
        <v>45667</v>
      </c>
      <c r="H204" t="s">
        <v>12</v>
      </c>
      <c r="I204" t="s">
        <v>25</v>
      </c>
      <c r="J204">
        <v>4</v>
      </c>
      <c r="K204" t="s">
        <v>4</v>
      </c>
      <c r="L204" t="s">
        <v>18</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5">
      <c r="A205" t="s">
        <v>264</v>
      </c>
      <c r="B205" t="s">
        <v>27</v>
      </c>
      <c r="C205">
        <v>7</v>
      </c>
      <c r="D205">
        <v>65.099999999999994</v>
      </c>
      <c r="E205">
        <v>455.69999999999993</v>
      </c>
      <c r="F205" s="1">
        <v>45666</v>
      </c>
      <c r="G205" s="1">
        <v>45669</v>
      </c>
      <c r="H205" t="s">
        <v>12</v>
      </c>
      <c r="I205" t="s">
        <v>25</v>
      </c>
      <c r="J205">
        <v>5</v>
      </c>
      <c r="K205" t="s">
        <v>4</v>
      </c>
      <c r="L205" t="s">
        <v>18</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5">
      <c r="A206" t="s">
        <v>265</v>
      </c>
      <c r="B206" t="s">
        <v>15</v>
      </c>
      <c r="C206">
        <v>2</v>
      </c>
      <c r="D206">
        <v>52.1</v>
      </c>
      <c r="E206">
        <v>104.2</v>
      </c>
      <c r="F206" s="1">
        <v>45666</v>
      </c>
      <c r="G206" s="1">
        <v>45670</v>
      </c>
      <c r="H206" t="s">
        <v>12</v>
      </c>
      <c r="I206" t="s">
        <v>25</v>
      </c>
      <c r="J206">
        <v>4</v>
      </c>
      <c r="K206" t="s">
        <v>4</v>
      </c>
      <c r="L206" t="s">
        <v>18</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5">
      <c r="A207" t="s">
        <v>266</v>
      </c>
      <c r="B207" t="s">
        <v>11</v>
      </c>
      <c r="C207">
        <v>4</v>
      </c>
      <c r="D207">
        <v>129.19999999999999</v>
      </c>
      <c r="E207">
        <v>516.79999999999995</v>
      </c>
      <c r="F207" s="1">
        <v>45666</v>
      </c>
      <c r="G207" s="1">
        <v>45667</v>
      </c>
      <c r="H207" t="s">
        <v>12</v>
      </c>
      <c r="I207" t="s">
        <v>20</v>
      </c>
      <c r="J207">
        <v>4</v>
      </c>
      <c r="K207" t="s">
        <v>4</v>
      </c>
      <c r="L207" t="s">
        <v>18</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5">
      <c r="A208" t="s">
        <v>267</v>
      </c>
      <c r="B208" t="s">
        <v>7</v>
      </c>
      <c r="C208">
        <v>19</v>
      </c>
      <c r="D208">
        <v>81.8</v>
      </c>
      <c r="E208">
        <v>1554.2</v>
      </c>
      <c r="F208" s="1">
        <v>45666</v>
      </c>
      <c r="G208" s="1">
        <v>45666</v>
      </c>
      <c r="H208" t="s">
        <v>12</v>
      </c>
      <c r="I208" t="s">
        <v>20</v>
      </c>
      <c r="J208">
        <v>3</v>
      </c>
      <c r="K208" t="s">
        <v>4</v>
      </c>
      <c r="L208" t="s">
        <v>18</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5">
      <c r="A209" t="s">
        <v>268</v>
      </c>
      <c r="B209" t="s">
        <v>120</v>
      </c>
      <c r="C209">
        <v>1</v>
      </c>
      <c r="D209">
        <v>24.9</v>
      </c>
      <c r="E209">
        <v>24.9</v>
      </c>
      <c r="F209" s="1">
        <v>45666</v>
      </c>
      <c r="G209" s="1">
        <v>45670</v>
      </c>
      <c r="H209" t="s">
        <v>12</v>
      </c>
      <c r="I209" t="s">
        <v>20</v>
      </c>
      <c r="J209">
        <v>4</v>
      </c>
      <c r="K209" t="s">
        <v>4</v>
      </c>
      <c r="L209" t="s">
        <v>18</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5">
      <c r="A210" t="s">
        <v>269</v>
      </c>
      <c r="B210" t="s">
        <v>1</v>
      </c>
      <c r="C210">
        <v>3</v>
      </c>
      <c r="D210">
        <v>49.4</v>
      </c>
      <c r="E210">
        <v>148.19999999999999</v>
      </c>
      <c r="F210" s="1">
        <v>45666</v>
      </c>
      <c r="G210" s="1">
        <v>45669</v>
      </c>
      <c r="H210" t="s">
        <v>12</v>
      </c>
      <c r="I210" t="s">
        <v>55</v>
      </c>
      <c r="J210">
        <v>2</v>
      </c>
      <c r="K210" t="s">
        <v>4</v>
      </c>
      <c r="L210" t="s">
        <v>18</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5">
      <c r="A211" t="s">
        <v>270</v>
      </c>
      <c r="B211" t="s">
        <v>29</v>
      </c>
      <c r="C211">
        <v>2</v>
      </c>
      <c r="D211">
        <v>22.7</v>
      </c>
      <c r="E211">
        <v>45.4</v>
      </c>
      <c r="F211" s="1">
        <v>45666</v>
      </c>
      <c r="G211" s="1">
        <v>45667</v>
      </c>
      <c r="H211" t="s">
        <v>8</v>
      </c>
      <c r="I211" t="s">
        <v>36</v>
      </c>
      <c r="J211">
        <v>5</v>
      </c>
      <c r="K211" t="s">
        <v>4</v>
      </c>
      <c r="L211" t="s">
        <v>18</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5">
      <c r="A212" t="s">
        <v>271</v>
      </c>
      <c r="B212" t="s">
        <v>7</v>
      </c>
      <c r="C212">
        <v>1</v>
      </c>
      <c r="D212">
        <v>77.3</v>
      </c>
      <c r="E212">
        <v>77.3</v>
      </c>
      <c r="F212" s="1">
        <v>45666</v>
      </c>
      <c r="G212" s="1">
        <v>45666</v>
      </c>
      <c r="H212" t="s">
        <v>12</v>
      </c>
      <c r="I212" t="s">
        <v>3</v>
      </c>
      <c r="J212">
        <v>5</v>
      </c>
      <c r="K212" t="s">
        <v>4</v>
      </c>
      <c r="L212" t="s">
        <v>40</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5">
      <c r="A213" t="s">
        <v>272</v>
      </c>
      <c r="B213" t="s">
        <v>7</v>
      </c>
      <c r="C213">
        <v>5</v>
      </c>
      <c r="D213">
        <v>109.1</v>
      </c>
      <c r="E213">
        <v>545.5</v>
      </c>
      <c r="F213" s="1">
        <v>45666</v>
      </c>
      <c r="G213" s="1">
        <v>45669</v>
      </c>
      <c r="H213" t="s">
        <v>12</v>
      </c>
      <c r="I213" t="s">
        <v>3</v>
      </c>
      <c r="J213">
        <v>4</v>
      </c>
      <c r="K213" t="s">
        <v>4</v>
      </c>
      <c r="L213" t="s">
        <v>40</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5">
      <c r="A214" t="s">
        <v>273</v>
      </c>
      <c r="B214" t="s">
        <v>11</v>
      </c>
      <c r="C214">
        <v>4</v>
      </c>
      <c r="D214">
        <v>53.9</v>
      </c>
      <c r="E214">
        <v>215.6</v>
      </c>
      <c r="F214" s="1">
        <v>45666</v>
      </c>
      <c r="G214" s="1">
        <v>45667</v>
      </c>
      <c r="H214" t="s">
        <v>8</v>
      </c>
      <c r="I214" t="s">
        <v>3</v>
      </c>
      <c r="J214">
        <v>3</v>
      </c>
      <c r="K214" t="s">
        <v>4</v>
      </c>
      <c r="L214" t="s">
        <v>47</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5">
      <c r="A215" t="s">
        <v>274</v>
      </c>
      <c r="B215" t="s">
        <v>31</v>
      </c>
      <c r="C215">
        <v>26</v>
      </c>
      <c r="D215">
        <v>21.2</v>
      </c>
      <c r="E215">
        <v>551.19999999999993</v>
      </c>
      <c r="F215" s="1">
        <v>45666</v>
      </c>
      <c r="G215" s="1">
        <v>45666</v>
      </c>
      <c r="H215" t="s">
        <v>12</v>
      </c>
      <c r="I215" t="s">
        <v>3</v>
      </c>
      <c r="J215">
        <v>4</v>
      </c>
      <c r="K215" t="s">
        <v>4</v>
      </c>
      <c r="L215" t="s">
        <v>57</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5">
      <c r="A216" t="s">
        <v>275</v>
      </c>
      <c r="B216" t="s">
        <v>113</v>
      </c>
      <c r="C216">
        <v>4</v>
      </c>
      <c r="D216">
        <v>69</v>
      </c>
      <c r="E216">
        <v>276</v>
      </c>
      <c r="F216" s="1">
        <v>45666</v>
      </c>
      <c r="G216" s="1">
        <v>45668</v>
      </c>
      <c r="H216" t="s">
        <v>12</v>
      </c>
      <c r="I216" t="s">
        <v>20</v>
      </c>
      <c r="J216">
        <v>3</v>
      </c>
      <c r="K216" t="s">
        <v>4</v>
      </c>
      <c r="L216" t="s">
        <v>93</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5">
      <c r="A217" t="s">
        <v>276</v>
      </c>
      <c r="B217" t="s">
        <v>24</v>
      </c>
      <c r="C217">
        <v>3</v>
      </c>
      <c r="D217">
        <v>46.2</v>
      </c>
      <c r="E217">
        <v>138.60000000000002</v>
      </c>
      <c r="F217" s="1">
        <v>45666</v>
      </c>
      <c r="G217" s="1">
        <v>45668</v>
      </c>
      <c r="H217" t="s">
        <v>12</v>
      </c>
      <c r="I217" t="s">
        <v>3</v>
      </c>
      <c r="J217">
        <v>5</v>
      </c>
      <c r="K217" t="s">
        <v>4</v>
      </c>
      <c r="L217" t="s">
        <v>277</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5">
      <c r="A218" t="s">
        <v>278</v>
      </c>
      <c r="B218" t="s">
        <v>7</v>
      </c>
      <c r="C218">
        <v>5</v>
      </c>
      <c r="D218">
        <v>97.4</v>
      </c>
      <c r="E218">
        <v>487</v>
      </c>
      <c r="F218" s="1">
        <v>45666</v>
      </c>
      <c r="G218" s="1">
        <v>45670</v>
      </c>
      <c r="H218" t="s">
        <v>12</v>
      </c>
      <c r="I218" t="s">
        <v>55</v>
      </c>
      <c r="J218">
        <v>5</v>
      </c>
      <c r="K218" t="s">
        <v>4</v>
      </c>
      <c r="L218" t="s">
        <v>100</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5">
      <c r="A219" t="s">
        <v>279</v>
      </c>
      <c r="B219" t="s">
        <v>29</v>
      </c>
      <c r="C219">
        <v>5</v>
      </c>
      <c r="D219">
        <v>21</v>
      </c>
      <c r="E219">
        <v>105</v>
      </c>
      <c r="F219" s="1">
        <v>45666</v>
      </c>
      <c r="G219" s="1">
        <v>45667</v>
      </c>
      <c r="H219" t="s">
        <v>8</v>
      </c>
      <c r="I219" t="s">
        <v>3</v>
      </c>
      <c r="J219">
        <v>3</v>
      </c>
      <c r="K219" t="s">
        <v>4</v>
      </c>
      <c r="L219" t="s">
        <v>100</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5">
      <c r="A220" t="s">
        <v>280</v>
      </c>
      <c r="B220" t="s">
        <v>22</v>
      </c>
      <c r="C220">
        <v>2</v>
      </c>
      <c r="D220">
        <v>32.700000000000003</v>
      </c>
      <c r="E220">
        <v>65.400000000000006</v>
      </c>
      <c r="F220" s="1">
        <v>45667</v>
      </c>
      <c r="G220" s="1">
        <v>45670</v>
      </c>
      <c r="H220" t="s">
        <v>12</v>
      </c>
      <c r="I220" t="s">
        <v>20</v>
      </c>
      <c r="J220">
        <v>4</v>
      </c>
      <c r="K220" t="s">
        <v>4</v>
      </c>
      <c r="L220" t="s">
        <v>13</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5">
      <c r="A221" t="s">
        <v>281</v>
      </c>
      <c r="B221" t="s">
        <v>24</v>
      </c>
      <c r="C221">
        <v>4</v>
      </c>
      <c r="D221">
        <v>48</v>
      </c>
      <c r="E221">
        <v>192</v>
      </c>
      <c r="F221" s="1">
        <v>45667</v>
      </c>
      <c r="G221" s="1">
        <v>45668</v>
      </c>
      <c r="H221" t="s">
        <v>8</v>
      </c>
      <c r="I221" t="s">
        <v>36</v>
      </c>
      <c r="J221">
        <v>4</v>
      </c>
      <c r="K221" t="s">
        <v>4</v>
      </c>
      <c r="L221" t="s">
        <v>18</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5">
      <c r="A222" t="s">
        <v>282</v>
      </c>
      <c r="B222" t="s">
        <v>24</v>
      </c>
      <c r="C222">
        <v>3</v>
      </c>
      <c r="D222">
        <v>68.2</v>
      </c>
      <c r="E222">
        <v>204.60000000000002</v>
      </c>
      <c r="F222" s="1">
        <v>45667</v>
      </c>
      <c r="G222" s="1">
        <v>45671</v>
      </c>
      <c r="H222" t="s">
        <v>2</v>
      </c>
      <c r="I222" t="s">
        <v>3</v>
      </c>
      <c r="J222">
        <v>5</v>
      </c>
      <c r="K222" t="s">
        <v>4</v>
      </c>
      <c r="L222" t="s">
        <v>18</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5">
      <c r="A223" t="s">
        <v>283</v>
      </c>
      <c r="B223" t="s">
        <v>22</v>
      </c>
      <c r="C223">
        <v>1</v>
      </c>
      <c r="D223">
        <v>45.4</v>
      </c>
      <c r="E223">
        <v>45.4</v>
      </c>
      <c r="F223" s="1">
        <v>45667</v>
      </c>
      <c r="G223" s="1">
        <v>45669</v>
      </c>
      <c r="H223" t="s">
        <v>8</v>
      </c>
      <c r="I223" t="s">
        <v>20</v>
      </c>
      <c r="J223">
        <v>4</v>
      </c>
      <c r="K223" t="s">
        <v>4</v>
      </c>
      <c r="L223" t="s">
        <v>18</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5">
      <c r="A224" t="s">
        <v>284</v>
      </c>
      <c r="B224" t="s">
        <v>54</v>
      </c>
      <c r="C224">
        <v>2</v>
      </c>
      <c r="D224">
        <v>53.9</v>
      </c>
      <c r="E224">
        <v>107.8</v>
      </c>
      <c r="F224" s="1">
        <v>45667</v>
      </c>
      <c r="G224" s="1">
        <v>45668</v>
      </c>
      <c r="H224" t="s">
        <v>12</v>
      </c>
      <c r="I224" t="s">
        <v>25</v>
      </c>
      <c r="J224">
        <v>4</v>
      </c>
      <c r="K224" t="s">
        <v>4</v>
      </c>
      <c r="L224" t="s">
        <v>18</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5">
      <c r="A225" t="s">
        <v>285</v>
      </c>
      <c r="B225" t="s">
        <v>11</v>
      </c>
      <c r="C225">
        <v>4</v>
      </c>
      <c r="D225">
        <v>62.1</v>
      </c>
      <c r="E225">
        <v>248.4</v>
      </c>
      <c r="F225" s="1">
        <v>45667</v>
      </c>
      <c r="G225" s="1">
        <v>45671</v>
      </c>
      <c r="H225" t="s">
        <v>12</v>
      </c>
      <c r="I225" t="s">
        <v>3</v>
      </c>
      <c r="J225">
        <v>4</v>
      </c>
      <c r="K225" t="s">
        <v>4</v>
      </c>
      <c r="L225" t="s">
        <v>34</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5">
      <c r="A226" t="s">
        <v>286</v>
      </c>
      <c r="B226" t="s">
        <v>61</v>
      </c>
      <c r="C226">
        <v>7</v>
      </c>
      <c r="D226">
        <v>33.1</v>
      </c>
      <c r="E226">
        <v>231.70000000000002</v>
      </c>
      <c r="F226" s="1">
        <v>45667</v>
      </c>
      <c r="G226" s="1">
        <v>45672</v>
      </c>
      <c r="H226" t="s">
        <v>8</v>
      </c>
      <c r="I226" t="s">
        <v>20</v>
      </c>
      <c r="J226">
        <v>4</v>
      </c>
      <c r="K226" t="s">
        <v>4</v>
      </c>
      <c r="L226" t="s">
        <v>40</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5">
      <c r="A227" t="s">
        <v>287</v>
      </c>
      <c r="B227" t="s">
        <v>131</v>
      </c>
      <c r="C227">
        <v>5</v>
      </c>
      <c r="D227">
        <v>35.200000000000003</v>
      </c>
      <c r="E227">
        <v>176</v>
      </c>
      <c r="F227" s="1">
        <v>45667</v>
      </c>
      <c r="G227" s="1">
        <v>45667</v>
      </c>
      <c r="H227" t="s">
        <v>12</v>
      </c>
      <c r="I227" t="s">
        <v>20</v>
      </c>
      <c r="J227">
        <v>4</v>
      </c>
      <c r="K227" t="s">
        <v>4</v>
      </c>
      <c r="L227" t="s">
        <v>40</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5">
      <c r="A228" t="s">
        <v>288</v>
      </c>
      <c r="B228" t="s">
        <v>31</v>
      </c>
      <c r="C228">
        <v>3</v>
      </c>
      <c r="D228">
        <v>32.1</v>
      </c>
      <c r="E228">
        <v>96.300000000000011</v>
      </c>
      <c r="F228" s="1">
        <v>45667</v>
      </c>
      <c r="G228" s="1">
        <v>45672</v>
      </c>
      <c r="H228" t="s">
        <v>8</v>
      </c>
      <c r="I228" t="s">
        <v>36</v>
      </c>
      <c r="J228">
        <v>4</v>
      </c>
      <c r="K228" t="s">
        <v>4</v>
      </c>
      <c r="L228" t="s">
        <v>47</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5">
      <c r="A229" t="s">
        <v>289</v>
      </c>
      <c r="B229" t="s">
        <v>52</v>
      </c>
      <c r="C229">
        <v>1</v>
      </c>
      <c r="D229">
        <v>38.1</v>
      </c>
      <c r="E229">
        <v>38.1</v>
      </c>
      <c r="F229" s="1">
        <v>45667</v>
      </c>
      <c r="G229" s="1">
        <v>45672</v>
      </c>
      <c r="H229" t="s">
        <v>12</v>
      </c>
      <c r="I229" t="s">
        <v>3</v>
      </c>
      <c r="J229">
        <v>5</v>
      </c>
      <c r="K229" t="s">
        <v>4</v>
      </c>
      <c r="L229" t="s">
        <v>47</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5">
      <c r="A230" t="s">
        <v>290</v>
      </c>
      <c r="B230" t="s">
        <v>29</v>
      </c>
      <c r="C230">
        <v>1</v>
      </c>
      <c r="D230">
        <v>65.2</v>
      </c>
      <c r="E230">
        <v>65.2</v>
      </c>
      <c r="F230" s="1">
        <v>45667</v>
      </c>
      <c r="G230" s="1">
        <v>45672</v>
      </c>
      <c r="H230" t="s">
        <v>12</v>
      </c>
      <c r="I230" t="s">
        <v>36</v>
      </c>
      <c r="J230">
        <v>3</v>
      </c>
      <c r="K230" t="s">
        <v>4</v>
      </c>
      <c r="L230" t="s">
        <v>47</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5">
      <c r="A231" t="s">
        <v>291</v>
      </c>
      <c r="B231" t="s">
        <v>39</v>
      </c>
      <c r="C231">
        <v>7</v>
      </c>
      <c r="D231">
        <v>55.2</v>
      </c>
      <c r="E231">
        <v>386.40000000000003</v>
      </c>
      <c r="F231" s="1">
        <v>45667</v>
      </c>
      <c r="G231" s="1">
        <v>45668</v>
      </c>
      <c r="H231" t="s">
        <v>8</v>
      </c>
      <c r="I231" t="s">
        <v>25</v>
      </c>
      <c r="J231">
        <v>4</v>
      </c>
      <c r="K231" t="s">
        <v>4</v>
      </c>
      <c r="L231" t="s">
        <v>62</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5">
      <c r="A232" t="s">
        <v>292</v>
      </c>
      <c r="B232" t="s">
        <v>24</v>
      </c>
      <c r="C232">
        <v>1</v>
      </c>
      <c r="D232">
        <v>62</v>
      </c>
      <c r="E232">
        <v>62</v>
      </c>
      <c r="F232" s="1">
        <v>45667</v>
      </c>
      <c r="G232" s="1">
        <v>45671</v>
      </c>
      <c r="H232" t="s">
        <v>12</v>
      </c>
      <c r="I232" t="s">
        <v>3</v>
      </c>
      <c r="J232">
        <v>4</v>
      </c>
      <c r="K232" t="s">
        <v>4</v>
      </c>
      <c r="L232" t="s">
        <v>62</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5">
      <c r="A233" t="s">
        <v>293</v>
      </c>
      <c r="B233" t="s">
        <v>27</v>
      </c>
      <c r="C233">
        <v>3</v>
      </c>
      <c r="D233">
        <v>45.9</v>
      </c>
      <c r="E233">
        <v>137.69999999999999</v>
      </c>
      <c r="F233" s="1">
        <v>45667</v>
      </c>
      <c r="G233" s="1">
        <v>45668</v>
      </c>
      <c r="H233" t="s">
        <v>12</v>
      </c>
      <c r="I233" t="s">
        <v>25</v>
      </c>
      <c r="J233">
        <v>4</v>
      </c>
      <c r="K233" t="s">
        <v>4</v>
      </c>
      <c r="L233" t="s">
        <v>294</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5">
      <c r="A234" t="s">
        <v>295</v>
      </c>
      <c r="B234" t="s">
        <v>131</v>
      </c>
      <c r="C234">
        <v>3</v>
      </c>
      <c r="D234">
        <v>58.3</v>
      </c>
      <c r="E234">
        <v>174.89999999999998</v>
      </c>
      <c r="F234" s="1">
        <v>45667</v>
      </c>
      <c r="G234" s="1">
        <v>45667</v>
      </c>
      <c r="H234" t="s">
        <v>8</v>
      </c>
      <c r="I234" t="s">
        <v>20</v>
      </c>
      <c r="J234">
        <v>3</v>
      </c>
      <c r="K234" t="s">
        <v>4</v>
      </c>
      <c r="L234" t="s">
        <v>93</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5">
      <c r="A235" t="s">
        <v>296</v>
      </c>
      <c r="B235" t="s">
        <v>29</v>
      </c>
      <c r="C235">
        <v>2</v>
      </c>
      <c r="D235">
        <v>22.3</v>
      </c>
      <c r="E235">
        <v>44.6</v>
      </c>
      <c r="F235" s="1">
        <v>45667</v>
      </c>
      <c r="G235" s="1">
        <v>45670</v>
      </c>
      <c r="H235" t="s">
        <v>12</v>
      </c>
      <c r="I235" t="s">
        <v>3</v>
      </c>
      <c r="J235">
        <v>5</v>
      </c>
      <c r="K235" t="s">
        <v>4</v>
      </c>
      <c r="L235" t="s">
        <v>98</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5">
      <c r="A236" t="s">
        <v>297</v>
      </c>
      <c r="B236" t="s">
        <v>156</v>
      </c>
      <c r="C236">
        <v>5</v>
      </c>
      <c r="D236">
        <v>24</v>
      </c>
      <c r="E236">
        <v>120</v>
      </c>
      <c r="F236" s="1">
        <v>45667</v>
      </c>
      <c r="G236" s="1">
        <v>45668</v>
      </c>
      <c r="H236" t="s">
        <v>8</v>
      </c>
      <c r="I236" t="s">
        <v>55</v>
      </c>
      <c r="J236">
        <v>4</v>
      </c>
      <c r="K236" t="s">
        <v>4</v>
      </c>
      <c r="L236" t="s">
        <v>9</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5">
      <c r="A237" t="s">
        <v>298</v>
      </c>
      <c r="B237" t="s">
        <v>1</v>
      </c>
      <c r="C237">
        <v>10</v>
      </c>
      <c r="D237">
        <v>21.3</v>
      </c>
      <c r="E237">
        <v>213</v>
      </c>
      <c r="F237" s="1">
        <v>45667</v>
      </c>
      <c r="G237" s="1">
        <v>45667</v>
      </c>
      <c r="H237" t="s">
        <v>12</v>
      </c>
      <c r="I237" t="s">
        <v>20</v>
      </c>
      <c r="J237">
        <v>5</v>
      </c>
      <c r="K237" t="s">
        <v>4</v>
      </c>
      <c r="L237" t="s">
        <v>132</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5">
      <c r="A238" t="s">
        <v>299</v>
      </c>
      <c r="B238" t="s">
        <v>24</v>
      </c>
      <c r="C238">
        <v>41</v>
      </c>
      <c r="D238">
        <v>57.8</v>
      </c>
      <c r="E238">
        <v>2369.7999999999997</v>
      </c>
      <c r="F238" s="1">
        <v>45667</v>
      </c>
      <c r="G238" s="1">
        <v>45669</v>
      </c>
      <c r="H238" t="s">
        <v>12</v>
      </c>
      <c r="I238" t="s">
        <v>3</v>
      </c>
      <c r="J238">
        <v>5</v>
      </c>
      <c r="K238" t="s">
        <v>4</v>
      </c>
      <c r="L238" t="s">
        <v>18</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5">
      <c r="A239" t="s">
        <v>300</v>
      </c>
      <c r="B239" t="s">
        <v>39</v>
      </c>
      <c r="C239">
        <v>3</v>
      </c>
      <c r="D239">
        <v>67.599999999999994</v>
      </c>
      <c r="E239">
        <v>202.79999999999998</v>
      </c>
      <c r="F239" s="1">
        <v>45667</v>
      </c>
      <c r="G239" s="1">
        <v>45668</v>
      </c>
      <c r="H239" t="s">
        <v>12</v>
      </c>
      <c r="I239" t="s">
        <v>3</v>
      </c>
      <c r="J239">
        <v>4</v>
      </c>
      <c r="K239" t="s">
        <v>4</v>
      </c>
      <c r="L239" t="s">
        <v>18</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5">
      <c r="A240" t="s">
        <v>301</v>
      </c>
      <c r="B240" t="s">
        <v>24</v>
      </c>
      <c r="C240">
        <v>6</v>
      </c>
      <c r="D240">
        <v>66.7</v>
      </c>
      <c r="E240">
        <v>400.20000000000005</v>
      </c>
      <c r="F240" s="1">
        <v>45667</v>
      </c>
      <c r="G240" s="1">
        <v>45671</v>
      </c>
      <c r="H240" t="s">
        <v>8</v>
      </c>
      <c r="I240" t="s">
        <v>55</v>
      </c>
      <c r="J240">
        <v>3</v>
      </c>
      <c r="K240" t="s">
        <v>4</v>
      </c>
      <c r="L240" t="s">
        <v>18</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5">
      <c r="A241" t="s">
        <v>302</v>
      </c>
      <c r="B241" t="s">
        <v>7</v>
      </c>
      <c r="C241">
        <v>4</v>
      </c>
      <c r="D241">
        <v>53.1</v>
      </c>
      <c r="E241">
        <v>212.4</v>
      </c>
      <c r="F241" s="1">
        <v>45667</v>
      </c>
      <c r="G241" s="1">
        <v>45669</v>
      </c>
      <c r="H241" t="s">
        <v>12</v>
      </c>
      <c r="I241" t="s">
        <v>20</v>
      </c>
      <c r="J241">
        <v>4</v>
      </c>
      <c r="K241" t="s">
        <v>4</v>
      </c>
      <c r="L241" t="s">
        <v>18</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5">
      <c r="A242" t="s">
        <v>303</v>
      </c>
      <c r="B242" t="s">
        <v>54</v>
      </c>
      <c r="C242">
        <v>3</v>
      </c>
      <c r="D242">
        <v>57.4</v>
      </c>
      <c r="E242">
        <v>172.2</v>
      </c>
      <c r="F242" s="1">
        <v>45667</v>
      </c>
      <c r="G242" s="1">
        <v>45670</v>
      </c>
      <c r="H242" t="s">
        <v>12</v>
      </c>
      <c r="I242" t="s">
        <v>3</v>
      </c>
      <c r="J242">
        <v>5</v>
      </c>
      <c r="K242" t="s">
        <v>4</v>
      </c>
      <c r="L242" t="s">
        <v>243</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5">
      <c r="A243" t="s">
        <v>304</v>
      </c>
      <c r="B243" t="s">
        <v>11</v>
      </c>
      <c r="C243">
        <v>5</v>
      </c>
      <c r="D243">
        <v>58.1</v>
      </c>
      <c r="E243">
        <v>290.5</v>
      </c>
      <c r="F243" s="1">
        <v>45667</v>
      </c>
      <c r="G243" s="1">
        <v>45667</v>
      </c>
      <c r="H243" t="s">
        <v>8</v>
      </c>
      <c r="I243" t="s">
        <v>25</v>
      </c>
      <c r="J243">
        <v>5</v>
      </c>
      <c r="K243" t="s">
        <v>4</v>
      </c>
      <c r="L243" t="s">
        <v>40</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5">
      <c r="A244" t="s">
        <v>305</v>
      </c>
      <c r="B244" t="s">
        <v>22</v>
      </c>
      <c r="C244">
        <v>3</v>
      </c>
      <c r="D244">
        <v>31.8</v>
      </c>
      <c r="E244">
        <v>95.4</v>
      </c>
      <c r="F244" s="1">
        <v>45668</v>
      </c>
      <c r="G244" s="1">
        <v>45670</v>
      </c>
      <c r="H244" t="s">
        <v>8</v>
      </c>
      <c r="I244" t="s">
        <v>36</v>
      </c>
      <c r="J244">
        <v>4</v>
      </c>
      <c r="K244" t="s">
        <v>4</v>
      </c>
      <c r="L244" t="s">
        <v>40</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5">
      <c r="A245" t="s">
        <v>306</v>
      </c>
      <c r="B245" t="s">
        <v>17</v>
      </c>
      <c r="C245">
        <v>3</v>
      </c>
      <c r="D245">
        <v>31.5</v>
      </c>
      <c r="E245">
        <v>94.5</v>
      </c>
      <c r="F245" s="1">
        <v>45668</v>
      </c>
      <c r="G245" s="1">
        <v>45671</v>
      </c>
      <c r="H245" t="s">
        <v>8</v>
      </c>
      <c r="I245" t="s">
        <v>3</v>
      </c>
      <c r="J245">
        <v>3</v>
      </c>
      <c r="K245" t="s">
        <v>4</v>
      </c>
      <c r="L245" t="s">
        <v>47</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5">
      <c r="A246" t="s">
        <v>307</v>
      </c>
      <c r="B246" t="s">
        <v>24</v>
      </c>
      <c r="C246">
        <v>7</v>
      </c>
      <c r="D246">
        <v>55.9</v>
      </c>
      <c r="E246">
        <v>391.3</v>
      </c>
      <c r="F246" s="1">
        <v>45668</v>
      </c>
      <c r="G246" s="1">
        <v>45672</v>
      </c>
      <c r="H246" t="s">
        <v>12</v>
      </c>
      <c r="I246" t="s">
        <v>20</v>
      </c>
      <c r="J246">
        <v>5</v>
      </c>
      <c r="K246" t="s">
        <v>4</v>
      </c>
      <c r="L246" t="s">
        <v>47</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5">
      <c r="A247" t="s">
        <v>308</v>
      </c>
      <c r="B247" t="s">
        <v>29</v>
      </c>
      <c r="C247">
        <v>2</v>
      </c>
      <c r="D247">
        <v>36.4</v>
      </c>
      <c r="E247">
        <v>72.8</v>
      </c>
      <c r="F247" s="1">
        <v>45668</v>
      </c>
      <c r="G247" s="1">
        <v>45669</v>
      </c>
      <c r="H247" t="s">
        <v>8</v>
      </c>
      <c r="I247" t="s">
        <v>20</v>
      </c>
      <c r="J247">
        <v>3</v>
      </c>
      <c r="K247" t="s">
        <v>4</v>
      </c>
      <c r="L247" t="s">
        <v>57</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5">
      <c r="A248" t="s">
        <v>309</v>
      </c>
      <c r="B248" t="s">
        <v>7</v>
      </c>
      <c r="C248">
        <v>5</v>
      </c>
      <c r="D248">
        <v>47.3</v>
      </c>
      <c r="E248">
        <v>236.5</v>
      </c>
      <c r="F248" s="1">
        <v>45668</v>
      </c>
      <c r="G248" s="1">
        <v>45671</v>
      </c>
      <c r="H248" t="s">
        <v>8</v>
      </c>
      <c r="I248" t="s">
        <v>25</v>
      </c>
      <c r="J248">
        <v>4</v>
      </c>
      <c r="K248" t="s">
        <v>4</v>
      </c>
      <c r="L248" t="s">
        <v>59</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5">
      <c r="A249" t="s">
        <v>310</v>
      </c>
      <c r="B249" t="s">
        <v>24</v>
      </c>
      <c r="C249">
        <v>3</v>
      </c>
      <c r="D249">
        <v>82.5</v>
      </c>
      <c r="E249">
        <v>247.5</v>
      </c>
      <c r="F249" s="1">
        <v>45668</v>
      </c>
      <c r="G249" s="1">
        <v>45669</v>
      </c>
      <c r="H249" t="s">
        <v>8</v>
      </c>
      <c r="I249" t="s">
        <v>3</v>
      </c>
      <c r="J249">
        <v>4</v>
      </c>
      <c r="K249" t="s">
        <v>4</v>
      </c>
      <c r="L249" t="s">
        <v>62</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5">
      <c r="A250" t="s">
        <v>311</v>
      </c>
      <c r="B250" t="s">
        <v>1</v>
      </c>
      <c r="C250">
        <v>1</v>
      </c>
      <c r="D250">
        <v>14.3</v>
      </c>
      <c r="E250">
        <v>14.3</v>
      </c>
      <c r="F250" s="1">
        <v>45668</v>
      </c>
      <c r="G250" s="1">
        <v>45669</v>
      </c>
      <c r="H250" t="s">
        <v>12</v>
      </c>
      <c r="I250" t="s">
        <v>3</v>
      </c>
      <c r="J250">
        <v>4</v>
      </c>
      <c r="K250" t="s">
        <v>4</v>
      </c>
      <c r="L250" t="s">
        <v>100</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5">
      <c r="A251" t="s">
        <v>312</v>
      </c>
      <c r="B251" t="s">
        <v>11</v>
      </c>
      <c r="C251">
        <v>6</v>
      </c>
      <c r="D251">
        <v>57.6</v>
      </c>
      <c r="E251">
        <v>345.6</v>
      </c>
      <c r="F251" s="1">
        <v>45668</v>
      </c>
      <c r="G251" s="1">
        <v>45682</v>
      </c>
      <c r="H251" t="s">
        <v>12</v>
      </c>
      <c r="I251" t="s">
        <v>3</v>
      </c>
      <c r="J251">
        <v>4</v>
      </c>
      <c r="K251" t="s">
        <v>4</v>
      </c>
      <c r="L251" t="s">
        <v>100</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5">
      <c r="A252" t="s">
        <v>313</v>
      </c>
      <c r="B252" t="s">
        <v>11</v>
      </c>
      <c r="C252">
        <v>3</v>
      </c>
      <c r="D252">
        <v>142.4</v>
      </c>
      <c r="E252">
        <v>427.20000000000005</v>
      </c>
      <c r="F252" s="1">
        <v>45668</v>
      </c>
      <c r="G252" s="1">
        <v>45670</v>
      </c>
      <c r="H252" t="s">
        <v>8</v>
      </c>
      <c r="I252" t="s">
        <v>55</v>
      </c>
      <c r="J252">
        <v>3</v>
      </c>
      <c r="K252" t="s">
        <v>4</v>
      </c>
      <c r="L252" t="s">
        <v>100</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5">
      <c r="A253" t="s">
        <v>314</v>
      </c>
      <c r="B253" t="s">
        <v>54</v>
      </c>
      <c r="C253">
        <v>1</v>
      </c>
      <c r="D253">
        <v>30.2</v>
      </c>
      <c r="E253">
        <v>30.2</v>
      </c>
      <c r="F253" s="1">
        <v>45668</v>
      </c>
      <c r="G253" s="1">
        <v>45672</v>
      </c>
      <c r="H253" t="s">
        <v>8</v>
      </c>
      <c r="I253" t="s">
        <v>20</v>
      </c>
      <c r="J253">
        <v>5</v>
      </c>
      <c r="K253" t="s">
        <v>4</v>
      </c>
      <c r="L253" t="s">
        <v>13</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5">
      <c r="A254" t="s">
        <v>315</v>
      </c>
      <c r="B254" t="s">
        <v>131</v>
      </c>
      <c r="C254">
        <v>3</v>
      </c>
      <c r="D254">
        <v>65.3</v>
      </c>
      <c r="E254">
        <v>195.89999999999998</v>
      </c>
      <c r="F254" s="1">
        <v>45668</v>
      </c>
      <c r="G254" s="1">
        <v>45669</v>
      </c>
      <c r="H254" t="s">
        <v>74</v>
      </c>
      <c r="I254" t="s">
        <v>20</v>
      </c>
      <c r="J254">
        <v>4</v>
      </c>
      <c r="K254" t="s">
        <v>4</v>
      </c>
      <c r="L254" t="s">
        <v>316</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5">
      <c r="A255" t="s">
        <v>317</v>
      </c>
      <c r="B255" t="s">
        <v>1</v>
      </c>
      <c r="C255">
        <v>2</v>
      </c>
      <c r="D255">
        <v>33.4</v>
      </c>
      <c r="E255">
        <v>66.8</v>
      </c>
      <c r="F255" s="1">
        <v>45668</v>
      </c>
      <c r="G255" s="1">
        <v>45669</v>
      </c>
      <c r="H255" t="s">
        <v>8</v>
      </c>
      <c r="I255" t="s">
        <v>20</v>
      </c>
      <c r="J255">
        <v>3</v>
      </c>
      <c r="K255" t="s">
        <v>4</v>
      </c>
      <c r="L255" t="s">
        <v>132</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5">
      <c r="A256" t="s">
        <v>318</v>
      </c>
      <c r="B256" t="s">
        <v>27</v>
      </c>
      <c r="C256">
        <v>2</v>
      </c>
      <c r="D256">
        <v>45.1</v>
      </c>
      <c r="E256">
        <v>90.2</v>
      </c>
      <c r="F256" s="1">
        <v>45668</v>
      </c>
      <c r="G256" s="1">
        <v>45676</v>
      </c>
      <c r="H256" t="s">
        <v>8</v>
      </c>
      <c r="I256" t="s">
        <v>3</v>
      </c>
      <c r="J256">
        <v>4</v>
      </c>
      <c r="K256" t="s">
        <v>4</v>
      </c>
      <c r="L256" t="s">
        <v>319</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5">
      <c r="A257" t="s">
        <v>320</v>
      </c>
      <c r="B257" t="s">
        <v>11</v>
      </c>
      <c r="C257">
        <v>7</v>
      </c>
      <c r="D257">
        <v>61.7</v>
      </c>
      <c r="E257">
        <v>431.90000000000003</v>
      </c>
      <c r="F257" s="1">
        <v>45668</v>
      </c>
      <c r="G257" s="1">
        <v>45670</v>
      </c>
      <c r="H257" t="s">
        <v>12</v>
      </c>
      <c r="I257" t="s">
        <v>55</v>
      </c>
      <c r="J257">
        <v>4</v>
      </c>
      <c r="K257" t="s">
        <v>4</v>
      </c>
      <c r="L257" t="s">
        <v>18</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5">
      <c r="A258" t="s">
        <v>321</v>
      </c>
      <c r="B258" t="s">
        <v>31</v>
      </c>
      <c r="C258">
        <v>3</v>
      </c>
      <c r="D258">
        <v>45.1</v>
      </c>
      <c r="E258">
        <v>135.30000000000001</v>
      </c>
      <c r="F258" s="1">
        <v>45669</v>
      </c>
      <c r="G258" s="1">
        <v>45670</v>
      </c>
      <c r="H258" t="s">
        <v>8</v>
      </c>
      <c r="I258" t="s">
        <v>55</v>
      </c>
      <c r="J258">
        <v>3</v>
      </c>
      <c r="K258" t="s">
        <v>4</v>
      </c>
      <c r="L258" t="s">
        <v>18</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5">
      <c r="A259" t="s">
        <v>322</v>
      </c>
      <c r="B259" t="s">
        <v>108</v>
      </c>
      <c r="C259">
        <v>5</v>
      </c>
      <c r="D259">
        <v>22.7</v>
      </c>
      <c r="E259">
        <v>113.5</v>
      </c>
      <c r="F259" s="1">
        <v>45669</v>
      </c>
      <c r="G259" s="1">
        <v>45674</v>
      </c>
      <c r="H259" t="s">
        <v>8</v>
      </c>
      <c r="I259" t="s">
        <v>3</v>
      </c>
      <c r="J259">
        <v>5</v>
      </c>
      <c r="K259" t="s">
        <v>4</v>
      </c>
      <c r="L259" t="s">
        <v>323</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5">
      <c r="A260" t="s">
        <v>324</v>
      </c>
      <c r="B260" t="s">
        <v>29</v>
      </c>
      <c r="C260">
        <v>1</v>
      </c>
      <c r="D260">
        <v>17.600000000000001</v>
      </c>
      <c r="E260">
        <v>17.600000000000001</v>
      </c>
      <c r="F260" s="1">
        <v>45669</v>
      </c>
      <c r="G260" s="1">
        <v>45670</v>
      </c>
      <c r="H260" t="s">
        <v>12</v>
      </c>
      <c r="I260" t="s">
        <v>3</v>
      </c>
      <c r="J260">
        <v>5</v>
      </c>
      <c r="K260" t="s">
        <v>4</v>
      </c>
      <c r="L260" t="s">
        <v>143</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5">
      <c r="A261" t="s">
        <v>325</v>
      </c>
      <c r="B261" t="s">
        <v>66</v>
      </c>
      <c r="C261">
        <v>2</v>
      </c>
      <c r="D261">
        <v>11.3</v>
      </c>
      <c r="E261">
        <v>22.6</v>
      </c>
      <c r="F261" s="1">
        <v>45669</v>
      </c>
      <c r="G261" s="1">
        <v>45672</v>
      </c>
      <c r="H261" t="s">
        <v>12</v>
      </c>
      <c r="I261" t="s">
        <v>36</v>
      </c>
      <c r="J261">
        <v>5</v>
      </c>
      <c r="K261" t="s">
        <v>4</v>
      </c>
      <c r="L261" t="s">
        <v>143</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5">
      <c r="A262" t="s">
        <v>326</v>
      </c>
      <c r="B262" t="s">
        <v>24</v>
      </c>
      <c r="C262">
        <v>3</v>
      </c>
      <c r="D262">
        <v>53.4</v>
      </c>
      <c r="E262">
        <v>160.19999999999999</v>
      </c>
      <c r="F262" s="1">
        <v>45669</v>
      </c>
      <c r="G262" s="1">
        <v>45672</v>
      </c>
      <c r="H262" t="s">
        <v>8</v>
      </c>
      <c r="I262" t="s">
        <v>36</v>
      </c>
      <c r="J262">
        <v>5</v>
      </c>
      <c r="K262" t="s">
        <v>4</v>
      </c>
      <c r="L262" t="s">
        <v>327</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5">
      <c r="A263" t="s">
        <v>328</v>
      </c>
      <c r="B263" t="s">
        <v>24</v>
      </c>
      <c r="C263">
        <v>11</v>
      </c>
      <c r="D263">
        <v>51.1</v>
      </c>
      <c r="E263">
        <v>562.1</v>
      </c>
      <c r="F263" s="1">
        <v>45669</v>
      </c>
      <c r="G263" s="1">
        <v>45671</v>
      </c>
      <c r="H263" t="s">
        <v>12</v>
      </c>
      <c r="I263" t="s">
        <v>25</v>
      </c>
      <c r="J263">
        <v>5</v>
      </c>
      <c r="K263" t="s">
        <v>4</v>
      </c>
      <c r="L263" t="s">
        <v>47</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5">
      <c r="A264" t="s">
        <v>329</v>
      </c>
      <c r="B264" t="s">
        <v>29</v>
      </c>
      <c r="C264">
        <v>2</v>
      </c>
      <c r="D264">
        <v>27.5</v>
      </c>
      <c r="E264">
        <v>55</v>
      </c>
      <c r="F264" s="1">
        <v>45669</v>
      </c>
      <c r="G264" s="1">
        <v>45670</v>
      </c>
      <c r="H264" t="s">
        <v>8</v>
      </c>
      <c r="I264" t="s">
        <v>55</v>
      </c>
      <c r="J264">
        <v>3</v>
      </c>
      <c r="K264" t="s">
        <v>4</v>
      </c>
      <c r="L264" t="s">
        <v>47</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5">
      <c r="A265" t="s">
        <v>330</v>
      </c>
      <c r="B265" t="s">
        <v>31</v>
      </c>
      <c r="C265">
        <v>1</v>
      </c>
      <c r="D265">
        <v>33.5</v>
      </c>
      <c r="E265">
        <v>33.5</v>
      </c>
      <c r="F265" s="1">
        <v>45669</v>
      </c>
      <c r="G265" s="1">
        <v>45671</v>
      </c>
      <c r="H265" t="s">
        <v>12</v>
      </c>
      <c r="I265" t="s">
        <v>3</v>
      </c>
      <c r="J265">
        <v>2</v>
      </c>
      <c r="K265" t="s">
        <v>4</v>
      </c>
      <c r="L265" t="s">
        <v>47</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5">
      <c r="A266" t="s">
        <v>331</v>
      </c>
      <c r="B266" t="s">
        <v>17</v>
      </c>
      <c r="C266">
        <v>1</v>
      </c>
      <c r="D266">
        <v>59.5</v>
      </c>
      <c r="E266">
        <v>59.5</v>
      </c>
      <c r="F266" s="1">
        <v>45669</v>
      </c>
      <c r="G266" s="1">
        <v>45669</v>
      </c>
      <c r="H266" t="s">
        <v>8</v>
      </c>
      <c r="I266" t="s">
        <v>3</v>
      </c>
      <c r="J266">
        <v>5</v>
      </c>
      <c r="K266" t="s">
        <v>4</v>
      </c>
      <c r="L266" t="s">
        <v>93</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5">
      <c r="A267" t="s">
        <v>332</v>
      </c>
      <c r="B267" t="s">
        <v>120</v>
      </c>
      <c r="C267">
        <v>4</v>
      </c>
      <c r="D267">
        <v>23.5</v>
      </c>
      <c r="E267">
        <v>94</v>
      </c>
      <c r="F267" s="1">
        <v>45669</v>
      </c>
      <c r="G267" s="1">
        <v>45670</v>
      </c>
      <c r="H267" t="s">
        <v>12</v>
      </c>
      <c r="I267" t="s">
        <v>36</v>
      </c>
      <c r="J267">
        <v>1</v>
      </c>
      <c r="K267" t="s">
        <v>4</v>
      </c>
      <c r="L267" t="s">
        <v>95</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5">
      <c r="A268" t="s">
        <v>333</v>
      </c>
      <c r="B268" t="s">
        <v>24</v>
      </c>
      <c r="C268">
        <v>1</v>
      </c>
      <c r="D268">
        <v>49.7</v>
      </c>
      <c r="E268">
        <v>49.7</v>
      </c>
      <c r="F268" s="1">
        <v>45669</v>
      </c>
      <c r="G268" s="1">
        <v>45670</v>
      </c>
      <c r="H268" t="s">
        <v>2</v>
      </c>
      <c r="I268" t="s">
        <v>20</v>
      </c>
      <c r="J268">
        <v>5</v>
      </c>
      <c r="K268" t="s">
        <v>4</v>
      </c>
      <c r="L268" t="s">
        <v>98</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5">
      <c r="A269" t="s">
        <v>334</v>
      </c>
      <c r="B269" t="s">
        <v>24</v>
      </c>
      <c r="C269">
        <v>4</v>
      </c>
      <c r="D269">
        <v>44.2</v>
      </c>
      <c r="E269">
        <v>176.8</v>
      </c>
      <c r="F269" s="1">
        <v>45669</v>
      </c>
      <c r="G269" s="1">
        <v>45672</v>
      </c>
      <c r="H269" t="s">
        <v>12</v>
      </c>
      <c r="I269" t="s">
        <v>3</v>
      </c>
      <c r="J269">
        <v>5</v>
      </c>
      <c r="K269" t="s">
        <v>4</v>
      </c>
      <c r="L269" t="s">
        <v>100</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5">
      <c r="A270" t="s">
        <v>335</v>
      </c>
      <c r="B270" t="s">
        <v>29</v>
      </c>
      <c r="C270">
        <v>1</v>
      </c>
      <c r="D270">
        <v>22.1</v>
      </c>
      <c r="E270">
        <v>22.1</v>
      </c>
      <c r="F270" s="1">
        <v>45669</v>
      </c>
      <c r="G270" s="1">
        <v>45673</v>
      </c>
      <c r="H270" t="s">
        <v>12</v>
      </c>
      <c r="I270" t="s">
        <v>20</v>
      </c>
      <c r="J270">
        <v>3</v>
      </c>
      <c r="K270" t="s">
        <v>4</v>
      </c>
      <c r="L270" t="s">
        <v>316</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5">
      <c r="A271" t="s">
        <v>336</v>
      </c>
      <c r="B271" t="s">
        <v>24</v>
      </c>
      <c r="C271">
        <v>3</v>
      </c>
      <c r="D271">
        <v>90.9</v>
      </c>
      <c r="E271">
        <v>272.70000000000005</v>
      </c>
      <c r="F271" s="1">
        <v>45669</v>
      </c>
      <c r="G271" s="1">
        <v>45670</v>
      </c>
      <c r="H271" t="s">
        <v>12</v>
      </c>
      <c r="I271" t="s">
        <v>25</v>
      </c>
      <c r="J271">
        <v>2</v>
      </c>
      <c r="K271" t="s">
        <v>4</v>
      </c>
      <c r="L271" t="s">
        <v>18</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5">
      <c r="A272" t="s">
        <v>337</v>
      </c>
      <c r="B272" t="s">
        <v>29</v>
      </c>
      <c r="C272">
        <v>3</v>
      </c>
      <c r="D272">
        <v>44.5</v>
      </c>
      <c r="E272">
        <v>133.5</v>
      </c>
      <c r="F272" s="1">
        <v>45669</v>
      </c>
      <c r="G272" s="1">
        <v>45670</v>
      </c>
      <c r="H272" t="s">
        <v>12</v>
      </c>
      <c r="I272" t="s">
        <v>20</v>
      </c>
      <c r="J272">
        <v>4</v>
      </c>
      <c r="K272" t="s">
        <v>4</v>
      </c>
      <c r="L272" t="s">
        <v>18</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5">
      <c r="A273" t="s">
        <v>338</v>
      </c>
      <c r="B273" t="s">
        <v>31</v>
      </c>
      <c r="C273">
        <v>6</v>
      </c>
      <c r="D273">
        <v>32.299999999999997</v>
      </c>
      <c r="E273">
        <v>193.79999999999998</v>
      </c>
      <c r="F273" s="1">
        <v>45669</v>
      </c>
      <c r="G273" s="1">
        <v>45673</v>
      </c>
      <c r="H273" t="s">
        <v>12</v>
      </c>
      <c r="I273" t="s">
        <v>3</v>
      </c>
      <c r="J273">
        <v>4</v>
      </c>
      <c r="K273" t="s">
        <v>4</v>
      </c>
      <c r="L273" t="s">
        <v>18</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5">
      <c r="A274" t="s">
        <v>339</v>
      </c>
      <c r="B274" t="s">
        <v>120</v>
      </c>
      <c r="C274">
        <v>3</v>
      </c>
      <c r="D274">
        <v>87.5</v>
      </c>
      <c r="E274">
        <v>262.5</v>
      </c>
      <c r="F274" s="1">
        <v>45669</v>
      </c>
      <c r="G274" s="1">
        <v>45670</v>
      </c>
      <c r="H274" t="s">
        <v>12</v>
      </c>
      <c r="I274" t="s">
        <v>20</v>
      </c>
      <c r="J274">
        <v>3</v>
      </c>
      <c r="K274" t="s">
        <v>4</v>
      </c>
      <c r="L274" t="s">
        <v>18</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5">
      <c r="A275" t="s">
        <v>340</v>
      </c>
      <c r="B275" t="s">
        <v>113</v>
      </c>
      <c r="C275">
        <v>5</v>
      </c>
      <c r="D275">
        <v>48.7</v>
      </c>
      <c r="E275">
        <v>243.5</v>
      </c>
      <c r="F275" s="1">
        <v>45669</v>
      </c>
      <c r="G275" s="1">
        <v>45670</v>
      </c>
      <c r="H275" t="s">
        <v>8</v>
      </c>
      <c r="I275" t="s">
        <v>25</v>
      </c>
      <c r="J275">
        <v>4</v>
      </c>
      <c r="K275" t="s">
        <v>4</v>
      </c>
      <c r="L275" t="s">
        <v>18</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5">
      <c r="A276" t="s">
        <v>341</v>
      </c>
      <c r="B276" t="s">
        <v>1</v>
      </c>
      <c r="C276">
        <v>5</v>
      </c>
      <c r="D276">
        <v>22.5</v>
      </c>
      <c r="E276">
        <v>112.5</v>
      </c>
      <c r="F276" s="1">
        <v>45669</v>
      </c>
      <c r="G276" s="1">
        <v>45670</v>
      </c>
      <c r="H276" t="s">
        <v>8</v>
      </c>
      <c r="I276" t="s">
        <v>3</v>
      </c>
      <c r="J276">
        <v>4</v>
      </c>
      <c r="K276" t="s">
        <v>4</v>
      </c>
      <c r="L276" t="s">
        <v>18</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5">
      <c r="A277" t="s">
        <v>342</v>
      </c>
      <c r="B277" t="s">
        <v>7</v>
      </c>
      <c r="C277">
        <v>8</v>
      </c>
      <c r="D277">
        <v>65.900000000000006</v>
      </c>
      <c r="E277">
        <v>527.20000000000005</v>
      </c>
      <c r="F277" s="1">
        <v>45669</v>
      </c>
      <c r="G277" s="1">
        <v>45672</v>
      </c>
      <c r="H277" t="s">
        <v>12</v>
      </c>
      <c r="I277" t="s">
        <v>20</v>
      </c>
      <c r="J277">
        <v>5</v>
      </c>
      <c r="K277" t="s">
        <v>4</v>
      </c>
      <c r="L277" t="s">
        <v>18</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5">
      <c r="A278" t="s">
        <v>343</v>
      </c>
      <c r="B278" t="s">
        <v>24</v>
      </c>
      <c r="C278">
        <v>5</v>
      </c>
      <c r="D278">
        <v>41.9</v>
      </c>
      <c r="E278">
        <v>209.5</v>
      </c>
      <c r="F278" s="1">
        <v>45669</v>
      </c>
      <c r="G278" s="1">
        <v>45676</v>
      </c>
      <c r="H278" t="s">
        <v>2</v>
      </c>
      <c r="I278" t="s">
        <v>3</v>
      </c>
      <c r="J278">
        <v>4</v>
      </c>
      <c r="K278" t="s">
        <v>4</v>
      </c>
      <c r="L278" t="s">
        <v>18</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5">
      <c r="A279" t="s">
        <v>344</v>
      </c>
      <c r="B279" t="s">
        <v>7</v>
      </c>
      <c r="C279">
        <v>5</v>
      </c>
      <c r="D279">
        <v>67.5</v>
      </c>
      <c r="E279">
        <v>337.5</v>
      </c>
      <c r="F279" s="1">
        <v>45669</v>
      </c>
      <c r="G279" s="1">
        <v>45670</v>
      </c>
      <c r="H279" t="s">
        <v>12</v>
      </c>
      <c r="I279" t="s">
        <v>3</v>
      </c>
      <c r="J279">
        <v>5</v>
      </c>
      <c r="K279" t="s">
        <v>4</v>
      </c>
      <c r="L279" t="s">
        <v>18</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5">
      <c r="A280" t="s">
        <v>345</v>
      </c>
      <c r="B280" t="s">
        <v>31</v>
      </c>
      <c r="C280">
        <v>1</v>
      </c>
      <c r="D280">
        <v>60.4</v>
      </c>
      <c r="E280">
        <v>60.4</v>
      </c>
      <c r="F280" s="1">
        <v>45670</v>
      </c>
      <c r="G280" s="1">
        <v>45672</v>
      </c>
      <c r="H280" t="s">
        <v>12</v>
      </c>
      <c r="I280" t="s">
        <v>20</v>
      </c>
      <c r="J280">
        <v>3</v>
      </c>
      <c r="K280" t="s">
        <v>4</v>
      </c>
      <c r="L280" t="s">
        <v>18</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5">
      <c r="A281" t="s">
        <v>346</v>
      </c>
      <c r="B281" t="s">
        <v>7</v>
      </c>
      <c r="C281">
        <v>7</v>
      </c>
      <c r="D281">
        <v>30.4</v>
      </c>
      <c r="E281">
        <v>212.79999999999998</v>
      </c>
      <c r="F281" s="1">
        <v>45670</v>
      </c>
      <c r="G281" s="1">
        <v>45673</v>
      </c>
      <c r="H281" t="s">
        <v>12</v>
      </c>
      <c r="I281" t="s">
        <v>55</v>
      </c>
      <c r="J281">
        <v>4</v>
      </c>
      <c r="K281" t="s">
        <v>4</v>
      </c>
      <c r="L281" t="s">
        <v>18</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5">
      <c r="A282" t="s">
        <v>347</v>
      </c>
      <c r="B282" t="s">
        <v>66</v>
      </c>
      <c r="C282">
        <v>2</v>
      </c>
      <c r="D282">
        <v>24.5</v>
      </c>
      <c r="E282">
        <v>49</v>
      </c>
      <c r="F282" s="1">
        <v>45670</v>
      </c>
      <c r="G282" s="1">
        <v>45671</v>
      </c>
      <c r="H282" t="s">
        <v>8</v>
      </c>
      <c r="I282" t="s">
        <v>36</v>
      </c>
      <c r="J282">
        <v>5</v>
      </c>
      <c r="K282" t="s">
        <v>4</v>
      </c>
      <c r="L282" t="s">
        <v>18</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5">
      <c r="A283" t="s">
        <v>348</v>
      </c>
      <c r="B283" t="s">
        <v>11</v>
      </c>
      <c r="C283">
        <v>3</v>
      </c>
      <c r="D283">
        <v>105.9</v>
      </c>
      <c r="E283">
        <v>317.70000000000005</v>
      </c>
      <c r="F283" s="1">
        <v>45670</v>
      </c>
      <c r="G283" s="1">
        <v>45675</v>
      </c>
      <c r="H283" t="s">
        <v>8</v>
      </c>
      <c r="I283" t="s">
        <v>3</v>
      </c>
      <c r="J283">
        <v>4</v>
      </c>
      <c r="K283" t="s">
        <v>4</v>
      </c>
      <c r="L283" t="s">
        <v>349</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5">
      <c r="A284" t="s">
        <v>350</v>
      </c>
      <c r="B284" t="s">
        <v>39</v>
      </c>
      <c r="C284">
        <v>24</v>
      </c>
      <c r="D284">
        <v>25.9</v>
      </c>
      <c r="E284">
        <v>621.59999999999991</v>
      </c>
      <c r="F284" s="1">
        <v>45670</v>
      </c>
      <c r="G284" s="1">
        <v>45671</v>
      </c>
      <c r="H284" t="s">
        <v>12</v>
      </c>
      <c r="I284" t="s">
        <v>55</v>
      </c>
      <c r="J284">
        <v>4</v>
      </c>
      <c r="K284" t="s">
        <v>4</v>
      </c>
      <c r="L284" t="s">
        <v>143</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5">
      <c r="A285" t="s">
        <v>351</v>
      </c>
      <c r="B285" t="s">
        <v>24</v>
      </c>
      <c r="C285">
        <v>3</v>
      </c>
      <c r="D285">
        <v>66.8</v>
      </c>
      <c r="E285">
        <v>200.39999999999998</v>
      </c>
      <c r="F285" s="1">
        <v>45670</v>
      </c>
      <c r="G285" s="1">
        <v>45670</v>
      </c>
      <c r="H285" t="s">
        <v>8</v>
      </c>
      <c r="I285" t="s">
        <v>3</v>
      </c>
      <c r="J285">
        <v>4</v>
      </c>
      <c r="K285" t="s">
        <v>4</v>
      </c>
      <c r="L285" t="s">
        <v>143</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5">
      <c r="A286" t="s">
        <v>352</v>
      </c>
      <c r="B286" t="s">
        <v>24</v>
      </c>
      <c r="C286">
        <v>3</v>
      </c>
      <c r="D286">
        <v>112.3</v>
      </c>
      <c r="E286">
        <v>336.9</v>
      </c>
      <c r="F286" s="1">
        <v>45670</v>
      </c>
      <c r="G286" s="1">
        <v>45671</v>
      </c>
      <c r="H286" t="s">
        <v>8</v>
      </c>
      <c r="I286" t="s">
        <v>25</v>
      </c>
      <c r="J286">
        <v>2</v>
      </c>
      <c r="K286" t="s">
        <v>4</v>
      </c>
      <c r="L286" t="s">
        <v>40</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5">
      <c r="A287" t="s">
        <v>353</v>
      </c>
      <c r="B287" t="s">
        <v>7</v>
      </c>
      <c r="C287">
        <v>6</v>
      </c>
      <c r="D287">
        <v>94.1</v>
      </c>
      <c r="E287">
        <v>564.59999999999991</v>
      </c>
      <c r="F287" s="1">
        <v>45670</v>
      </c>
      <c r="G287" s="1">
        <v>45671</v>
      </c>
      <c r="H287" t="s">
        <v>12</v>
      </c>
      <c r="I287" t="s">
        <v>3</v>
      </c>
      <c r="J287">
        <v>2</v>
      </c>
      <c r="K287" t="s">
        <v>4</v>
      </c>
      <c r="L287" t="s">
        <v>40</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5">
      <c r="A288" t="s">
        <v>354</v>
      </c>
      <c r="B288" t="s">
        <v>22</v>
      </c>
      <c r="C288">
        <v>1</v>
      </c>
      <c r="D288">
        <v>40.700000000000003</v>
      </c>
      <c r="E288">
        <v>40.700000000000003</v>
      </c>
      <c r="F288" s="1">
        <v>45670</v>
      </c>
      <c r="G288" s="1">
        <v>45673</v>
      </c>
      <c r="H288" t="s">
        <v>12</v>
      </c>
      <c r="I288" t="s">
        <v>25</v>
      </c>
      <c r="J288">
        <v>4</v>
      </c>
      <c r="K288" t="s">
        <v>4</v>
      </c>
      <c r="L288" t="s">
        <v>40</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5">
      <c r="A289" t="s">
        <v>355</v>
      </c>
      <c r="B289" t="s">
        <v>15</v>
      </c>
      <c r="C289">
        <v>2</v>
      </c>
      <c r="D289">
        <v>71.400000000000006</v>
      </c>
      <c r="E289">
        <v>142.80000000000001</v>
      </c>
      <c r="F289" s="1">
        <v>45670</v>
      </c>
      <c r="G289" s="1">
        <v>45671</v>
      </c>
      <c r="H289" t="s">
        <v>8</v>
      </c>
      <c r="I289" t="s">
        <v>3</v>
      </c>
      <c r="J289">
        <v>4</v>
      </c>
      <c r="K289" t="s">
        <v>4</v>
      </c>
      <c r="L289" t="s">
        <v>44</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5">
      <c r="A290" t="s">
        <v>356</v>
      </c>
      <c r="B290" t="s">
        <v>1</v>
      </c>
      <c r="C290">
        <v>18</v>
      </c>
      <c r="D290">
        <v>15.6</v>
      </c>
      <c r="E290">
        <v>280.8</v>
      </c>
      <c r="F290" s="1">
        <v>45670</v>
      </c>
      <c r="G290" s="1">
        <v>45671</v>
      </c>
      <c r="H290" t="s">
        <v>8</v>
      </c>
      <c r="I290" t="s">
        <v>20</v>
      </c>
      <c r="J290">
        <v>1</v>
      </c>
      <c r="K290" t="s">
        <v>4</v>
      </c>
      <c r="L290" t="s">
        <v>47</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5">
      <c r="A291" t="s">
        <v>357</v>
      </c>
      <c r="B291" t="s">
        <v>39</v>
      </c>
      <c r="C291">
        <v>4</v>
      </c>
      <c r="D291">
        <v>37.799999999999997</v>
      </c>
      <c r="E291">
        <v>151.19999999999999</v>
      </c>
      <c r="F291" s="1">
        <v>45670</v>
      </c>
      <c r="G291" s="1">
        <v>45671</v>
      </c>
      <c r="H291" t="s">
        <v>8</v>
      </c>
      <c r="I291" t="s">
        <v>25</v>
      </c>
      <c r="J291">
        <v>5</v>
      </c>
      <c r="K291" t="s">
        <v>4</v>
      </c>
      <c r="L291" t="s">
        <v>47</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5">
      <c r="A292" t="s">
        <v>358</v>
      </c>
      <c r="B292" t="s">
        <v>17</v>
      </c>
      <c r="C292">
        <v>3</v>
      </c>
      <c r="D292">
        <v>28.1</v>
      </c>
      <c r="E292">
        <v>84.300000000000011</v>
      </c>
      <c r="F292" s="1">
        <v>45670</v>
      </c>
      <c r="G292" s="1">
        <v>45674</v>
      </c>
      <c r="H292" t="s">
        <v>8</v>
      </c>
      <c r="I292" t="s">
        <v>3</v>
      </c>
      <c r="J292">
        <v>4</v>
      </c>
      <c r="K292" t="s">
        <v>4</v>
      </c>
      <c r="L292" t="s">
        <v>47</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5">
      <c r="A293" t="s">
        <v>359</v>
      </c>
      <c r="B293" t="s">
        <v>27</v>
      </c>
      <c r="C293">
        <v>6</v>
      </c>
      <c r="D293">
        <v>51.4</v>
      </c>
      <c r="E293">
        <v>308.39999999999998</v>
      </c>
      <c r="F293" s="1">
        <v>45670</v>
      </c>
      <c r="G293" s="1">
        <v>45674</v>
      </c>
      <c r="H293" t="s">
        <v>8</v>
      </c>
      <c r="I293" t="s">
        <v>3</v>
      </c>
      <c r="J293">
        <v>4</v>
      </c>
      <c r="K293" t="s">
        <v>4</v>
      </c>
      <c r="L293" t="s">
        <v>47</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5">
      <c r="A294" t="s">
        <v>360</v>
      </c>
      <c r="B294" t="s">
        <v>27</v>
      </c>
      <c r="C294">
        <v>2</v>
      </c>
      <c r="D294">
        <v>97.7</v>
      </c>
      <c r="E294">
        <v>195.4</v>
      </c>
      <c r="F294" s="1">
        <v>45670</v>
      </c>
      <c r="G294" s="1">
        <v>45672</v>
      </c>
      <c r="H294" t="s">
        <v>12</v>
      </c>
      <c r="I294" t="s">
        <v>55</v>
      </c>
      <c r="J294">
        <v>5</v>
      </c>
      <c r="K294" t="s">
        <v>4</v>
      </c>
      <c r="L294" t="s">
        <v>88</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5">
      <c r="A295" t="s">
        <v>361</v>
      </c>
      <c r="B295" t="s">
        <v>7</v>
      </c>
      <c r="C295">
        <v>4</v>
      </c>
      <c r="D295">
        <v>63.8</v>
      </c>
      <c r="E295">
        <v>255.2</v>
      </c>
      <c r="F295" s="1">
        <v>45670</v>
      </c>
      <c r="G295" s="1">
        <v>45671</v>
      </c>
      <c r="H295" t="s">
        <v>8</v>
      </c>
      <c r="I295" t="s">
        <v>25</v>
      </c>
      <c r="J295">
        <v>4</v>
      </c>
      <c r="K295" t="s">
        <v>4</v>
      </c>
      <c r="L295" t="s">
        <v>362</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5">
      <c r="A296" t="s">
        <v>363</v>
      </c>
      <c r="B296" t="s">
        <v>61</v>
      </c>
      <c r="C296">
        <v>2</v>
      </c>
      <c r="D296">
        <v>20.100000000000001</v>
      </c>
      <c r="E296">
        <v>40.200000000000003</v>
      </c>
      <c r="F296" s="1">
        <v>45670</v>
      </c>
      <c r="G296" s="1">
        <v>45672</v>
      </c>
      <c r="H296" t="s">
        <v>8</v>
      </c>
      <c r="I296" t="s">
        <v>3</v>
      </c>
      <c r="J296">
        <v>5</v>
      </c>
      <c r="K296" t="s">
        <v>4</v>
      </c>
      <c r="L296" t="s">
        <v>98</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5">
      <c r="A297" t="s">
        <v>364</v>
      </c>
      <c r="B297" t="s">
        <v>52</v>
      </c>
      <c r="C297">
        <v>3</v>
      </c>
      <c r="D297">
        <v>50.4</v>
      </c>
      <c r="E297">
        <v>151.19999999999999</v>
      </c>
      <c r="F297" s="1">
        <v>45670</v>
      </c>
      <c r="G297" s="1">
        <v>45673</v>
      </c>
      <c r="H297" t="s">
        <v>12</v>
      </c>
      <c r="I297" t="s">
        <v>36</v>
      </c>
      <c r="J297">
        <v>4</v>
      </c>
      <c r="K297" t="s">
        <v>4</v>
      </c>
      <c r="L297" t="s">
        <v>67</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5">
      <c r="A298" t="s">
        <v>365</v>
      </c>
      <c r="B298" t="s">
        <v>1</v>
      </c>
      <c r="C298">
        <v>1</v>
      </c>
      <c r="D298">
        <v>16.2</v>
      </c>
      <c r="E298">
        <v>16.2</v>
      </c>
      <c r="F298" s="1">
        <v>45670</v>
      </c>
      <c r="G298" s="1">
        <v>45683</v>
      </c>
      <c r="H298" t="s">
        <v>12</v>
      </c>
      <c r="I298" t="s">
        <v>20</v>
      </c>
      <c r="J298">
        <v>4</v>
      </c>
      <c r="K298" t="s">
        <v>4</v>
      </c>
      <c r="L298" t="s">
        <v>9</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5">
      <c r="A299" t="s">
        <v>366</v>
      </c>
      <c r="B299" t="s">
        <v>24</v>
      </c>
      <c r="C299">
        <v>7</v>
      </c>
      <c r="D299">
        <v>80.900000000000006</v>
      </c>
      <c r="E299">
        <v>566.30000000000007</v>
      </c>
      <c r="F299" s="1">
        <v>45670</v>
      </c>
      <c r="G299" s="1">
        <v>45672</v>
      </c>
      <c r="H299" t="s">
        <v>8</v>
      </c>
      <c r="I299" t="s">
        <v>55</v>
      </c>
      <c r="J299">
        <v>2</v>
      </c>
      <c r="K299" t="s">
        <v>4</v>
      </c>
      <c r="L299" t="s">
        <v>13</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5">
      <c r="A300" t="s">
        <v>367</v>
      </c>
      <c r="B300" t="s">
        <v>31</v>
      </c>
      <c r="C300">
        <v>6</v>
      </c>
      <c r="D300">
        <v>95.2</v>
      </c>
      <c r="E300">
        <v>571.20000000000005</v>
      </c>
      <c r="F300" s="1">
        <v>45670</v>
      </c>
      <c r="G300" s="1">
        <v>45672</v>
      </c>
      <c r="H300" t="s">
        <v>12</v>
      </c>
      <c r="I300" t="s">
        <v>3</v>
      </c>
      <c r="J300">
        <v>5</v>
      </c>
      <c r="K300" t="s">
        <v>4</v>
      </c>
      <c r="L300" t="s">
        <v>13</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5">
      <c r="A301" t="s">
        <v>368</v>
      </c>
      <c r="B301" t="s">
        <v>22</v>
      </c>
      <c r="C301">
        <v>8</v>
      </c>
      <c r="D301">
        <v>70.400000000000006</v>
      </c>
      <c r="E301">
        <v>563.20000000000005</v>
      </c>
      <c r="F301" s="1">
        <v>45670</v>
      </c>
      <c r="G301" s="1">
        <v>45671</v>
      </c>
      <c r="H301" t="s">
        <v>8</v>
      </c>
      <c r="I301" t="s">
        <v>20</v>
      </c>
      <c r="J301">
        <v>3</v>
      </c>
      <c r="K301" t="s">
        <v>4</v>
      </c>
      <c r="L301" t="s">
        <v>18</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5">
      <c r="A302" t="s">
        <v>369</v>
      </c>
      <c r="B302" t="s">
        <v>1</v>
      </c>
      <c r="C302">
        <v>5</v>
      </c>
      <c r="D302">
        <v>10.7</v>
      </c>
      <c r="E302">
        <v>53.5</v>
      </c>
      <c r="F302" s="1">
        <v>45670</v>
      </c>
      <c r="G302" s="1">
        <v>45674</v>
      </c>
      <c r="H302" t="s">
        <v>12</v>
      </c>
      <c r="I302" t="s">
        <v>25</v>
      </c>
      <c r="J302">
        <v>4</v>
      </c>
      <c r="K302" t="s">
        <v>4</v>
      </c>
      <c r="L302" t="s">
        <v>18</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5">
      <c r="A303" t="s">
        <v>370</v>
      </c>
      <c r="B303" t="s">
        <v>29</v>
      </c>
      <c r="C303">
        <v>5</v>
      </c>
      <c r="D303">
        <v>19.600000000000001</v>
      </c>
      <c r="E303">
        <v>98</v>
      </c>
      <c r="F303" s="1">
        <v>45670</v>
      </c>
      <c r="G303" s="1">
        <v>45672</v>
      </c>
      <c r="H303" t="s">
        <v>12</v>
      </c>
      <c r="I303" t="s">
        <v>3</v>
      </c>
      <c r="J303">
        <v>1</v>
      </c>
      <c r="K303" t="s">
        <v>4</v>
      </c>
      <c r="L303" t="s">
        <v>18</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5">
      <c r="A304" t="s">
        <v>371</v>
      </c>
      <c r="B304" t="s">
        <v>29</v>
      </c>
      <c r="C304">
        <v>11</v>
      </c>
      <c r="D304">
        <v>34.700000000000003</v>
      </c>
      <c r="E304">
        <v>381.70000000000005</v>
      </c>
      <c r="F304" s="1">
        <v>45670</v>
      </c>
      <c r="G304" s="1">
        <v>45672</v>
      </c>
      <c r="H304" t="s">
        <v>12</v>
      </c>
      <c r="I304" t="s">
        <v>3</v>
      </c>
      <c r="J304">
        <v>5</v>
      </c>
      <c r="K304" t="s">
        <v>4</v>
      </c>
      <c r="L304" t="s">
        <v>18</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5">
      <c r="A305" t="s">
        <v>372</v>
      </c>
      <c r="B305" t="s">
        <v>39</v>
      </c>
      <c r="C305">
        <v>9</v>
      </c>
      <c r="D305">
        <v>34.1</v>
      </c>
      <c r="E305">
        <v>306.90000000000003</v>
      </c>
      <c r="F305" s="1">
        <v>45670</v>
      </c>
      <c r="G305" s="1">
        <v>45671</v>
      </c>
      <c r="H305" t="s">
        <v>12</v>
      </c>
      <c r="I305" t="s">
        <v>55</v>
      </c>
      <c r="J305">
        <v>3</v>
      </c>
      <c r="K305" t="s">
        <v>4</v>
      </c>
      <c r="L305" t="s">
        <v>18</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5">
      <c r="A306" t="s">
        <v>373</v>
      </c>
      <c r="B306" t="s">
        <v>1</v>
      </c>
      <c r="C306">
        <v>49</v>
      </c>
      <c r="D306">
        <v>29.3</v>
      </c>
      <c r="E306">
        <v>1435.7</v>
      </c>
      <c r="F306" s="1">
        <v>45670</v>
      </c>
      <c r="G306" s="1">
        <v>45670</v>
      </c>
      <c r="H306" t="s">
        <v>8</v>
      </c>
      <c r="I306" t="s">
        <v>3</v>
      </c>
      <c r="J306">
        <v>3</v>
      </c>
      <c r="K306" t="s">
        <v>4</v>
      </c>
      <c r="L306" t="s">
        <v>18</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5">
      <c r="A307" t="s">
        <v>374</v>
      </c>
      <c r="B307" t="s">
        <v>7</v>
      </c>
      <c r="C307">
        <v>1</v>
      </c>
      <c r="D307">
        <v>55.2</v>
      </c>
      <c r="E307">
        <v>55.2</v>
      </c>
      <c r="F307" s="1">
        <v>45670</v>
      </c>
      <c r="G307" s="1">
        <v>45671</v>
      </c>
      <c r="H307" t="s">
        <v>12</v>
      </c>
      <c r="I307" t="s">
        <v>3</v>
      </c>
      <c r="J307">
        <v>3</v>
      </c>
      <c r="K307" t="s">
        <v>4</v>
      </c>
      <c r="L307" t="s">
        <v>18</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5">
      <c r="A308" t="s">
        <v>375</v>
      </c>
      <c r="B308" t="s">
        <v>131</v>
      </c>
      <c r="C308">
        <v>3</v>
      </c>
      <c r="D308">
        <v>26</v>
      </c>
      <c r="E308">
        <v>78</v>
      </c>
      <c r="F308" s="1">
        <v>45670</v>
      </c>
      <c r="G308" s="1">
        <v>45673</v>
      </c>
      <c r="H308" t="s">
        <v>12</v>
      </c>
      <c r="I308" t="s">
        <v>3</v>
      </c>
      <c r="J308">
        <v>5</v>
      </c>
      <c r="K308" t="s">
        <v>4</v>
      </c>
      <c r="L308" t="s">
        <v>18</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5">
      <c r="A309" t="s">
        <v>376</v>
      </c>
      <c r="B309" t="s">
        <v>66</v>
      </c>
      <c r="C309">
        <v>2</v>
      </c>
      <c r="D309">
        <v>14.2</v>
      </c>
      <c r="E309">
        <v>28.4</v>
      </c>
      <c r="F309" s="1">
        <v>45670</v>
      </c>
      <c r="G309" s="1">
        <v>45675</v>
      </c>
      <c r="H309" t="s">
        <v>12</v>
      </c>
      <c r="I309" t="s">
        <v>36</v>
      </c>
      <c r="J309">
        <v>4</v>
      </c>
      <c r="K309" t="s">
        <v>4</v>
      </c>
      <c r="L309" t="s">
        <v>377</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5">
      <c r="A310" t="s">
        <v>378</v>
      </c>
      <c r="B310" t="s">
        <v>29</v>
      </c>
      <c r="C310">
        <v>9</v>
      </c>
      <c r="D310">
        <v>22.7</v>
      </c>
      <c r="E310">
        <v>204.29999999999998</v>
      </c>
      <c r="F310" s="1">
        <v>45671</v>
      </c>
      <c r="G310" s="1">
        <v>45672</v>
      </c>
      <c r="H310" t="s">
        <v>8</v>
      </c>
      <c r="I310" t="s">
        <v>20</v>
      </c>
      <c r="J310">
        <v>4</v>
      </c>
      <c r="K310" t="s">
        <v>4</v>
      </c>
      <c r="L310" t="s">
        <v>40</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5">
      <c r="A311" t="s">
        <v>379</v>
      </c>
      <c r="B311" t="s">
        <v>1</v>
      </c>
      <c r="C311">
        <v>15</v>
      </c>
      <c r="D311">
        <v>19.8</v>
      </c>
      <c r="E311">
        <v>297</v>
      </c>
      <c r="F311" s="1">
        <v>45671</v>
      </c>
      <c r="G311" s="1">
        <v>45671</v>
      </c>
      <c r="H311" t="s">
        <v>12</v>
      </c>
      <c r="I311" t="s">
        <v>3</v>
      </c>
      <c r="J311">
        <v>5</v>
      </c>
      <c r="K311" t="s">
        <v>4</v>
      </c>
      <c r="L311" t="s">
        <v>40</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5">
      <c r="A312" t="s">
        <v>380</v>
      </c>
      <c r="B312" t="s">
        <v>1</v>
      </c>
      <c r="C312">
        <v>3</v>
      </c>
      <c r="D312">
        <v>31.7</v>
      </c>
      <c r="E312">
        <v>95.1</v>
      </c>
      <c r="F312" s="1">
        <v>45671</v>
      </c>
      <c r="G312" s="1">
        <v>45672</v>
      </c>
      <c r="H312" t="s">
        <v>8</v>
      </c>
      <c r="I312" t="s">
        <v>25</v>
      </c>
      <c r="J312">
        <v>4</v>
      </c>
      <c r="K312" t="s">
        <v>4</v>
      </c>
      <c r="L312" t="s">
        <v>40</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5">
      <c r="A313" t="s">
        <v>381</v>
      </c>
      <c r="B313" t="s">
        <v>29</v>
      </c>
      <c r="C313">
        <v>4</v>
      </c>
      <c r="D313">
        <v>30.4</v>
      </c>
      <c r="E313">
        <v>121.6</v>
      </c>
      <c r="F313" s="1">
        <v>45671</v>
      </c>
      <c r="G313" s="1">
        <v>45675</v>
      </c>
      <c r="H313" t="s">
        <v>8</v>
      </c>
      <c r="I313" t="s">
        <v>3</v>
      </c>
      <c r="J313">
        <v>4</v>
      </c>
      <c r="K313" t="s">
        <v>4</v>
      </c>
      <c r="L313" t="s">
        <v>40</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5">
      <c r="A314" t="s">
        <v>382</v>
      </c>
      <c r="B314" t="s">
        <v>1</v>
      </c>
      <c r="C314">
        <v>4</v>
      </c>
      <c r="D314">
        <v>25.6</v>
      </c>
      <c r="E314">
        <v>102.4</v>
      </c>
      <c r="F314" s="1">
        <v>45671</v>
      </c>
      <c r="G314" s="1">
        <v>45672</v>
      </c>
      <c r="H314" t="s">
        <v>8</v>
      </c>
      <c r="I314" t="s">
        <v>36</v>
      </c>
      <c r="J314">
        <v>4</v>
      </c>
      <c r="K314" t="s">
        <v>4</v>
      </c>
      <c r="L314" t="s">
        <v>47</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5">
      <c r="A315" t="s">
        <v>383</v>
      </c>
      <c r="B315" t="s">
        <v>22</v>
      </c>
      <c r="C315">
        <v>2</v>
      </c>
      <c r="D315">
        <v>34.9</v>
      </c>
      <c r="E315">
        <v>69.8</v>
      </c>
      <c r="F315" s="1">
        <v>45671</v>
      </c>
      <c r="G315" s="1">
        <v>45672</v>
      </c>
      <c r="H315" t="s">
        <v>12</v>
      </c>
      <c r="I315" t="s">
        <v>25</v>
      </c>
      <c r="J315">
        <v>4</v>
      </c>
      <c r="K315" t="s">
        <v>4</v>
      </c>
      <c r="L315" t="s">
        <v>57</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5">
      <c r="A316" t="s">
        <v>384</v>
      </c>
      <c r="B316" t="s">
        <v>27</v>
      </c>
      <c r="C316">
        <v>6</v>
      </c>
      <c r="D316">
        <v>42.7</v>
      </c>
      <c r="E316">
        <v>256.20000000000005</v>
      </c>
      <c r="F316" s="1">
        <v>45671</v>
      </c>
      <c r="G316" s="1">
        <v>45674</v>
      </c>
      <c r="H316" t="s">
        <v>8</v>
      </c>
      <c r="I316" t="s">
        <v>25</v>
      </c>
      <c r="J316">
        <v>3</v>
      </c>
      <c r="K316" t="s">
        <v>4</v>
      </c>
      <c r="L316" t="s">
        <v>62</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5">
      <c r="A317" t="s">
        <v>385</v>
      </c>
      <c r="B317" t="s">
        <v>29</v>
      </c>
      <c r="C317">
        <v>1</v>
      </c>
      <c r="D317">
        <v>23.9</v>
      </c>
      <c r="E317">
        <v>23.9</v>
      </c>
      <c r="F317" s="1">
        <v>45671</v>
      </c>
      <c r="G317" s="1">
        <v>45673</v>
      </c>
      <c r="H317" t="s">
        <v>12</v>
      </c>
      <c r="I317" t="s">
        <v>36</v>
      </c>
      <c r="J317">
        <v>4</v>
      </c>
      <c r="K317" t="s">
        <v>4</v>
      </c>
      <c r="L317" t="s">
        <v>62</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5">
      <c r="A318" t="s">
        <v>386</v>
      </c>
      <c r="B318" t="s">
        <v>24</v>
      </c>
      <c r="C318">
        <v>1</v>
      </c>
      <c r="D318">
        <v>124.3</v>
      </c>
      <c r="E318">
        <v>124.3</v>
      </c>
      <c r="F318" s="1">
        <v>45671</v>
      </c>
      <c r="G318" s="1">
        <v>45672</v>
      </c>
      <c r="H318" t="s">
        <v>2</v>
      </c>
      <c r="I318" t="s">
        <v>25</v>
      </c>
      <c r="J318">
        <v>3</v>
      </c>
      <c r="K318" t="s">
        <v>4</v>
      </c>
      <c r="L318" t="s">
        <v>100</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5">
      <c r="A319" t="s">
        <v>387</v>
      </c>
      <c r="B319" t="s">
        <v>29</v>
      </c>
      <c r="C319">
        <v>6</v>
      </c>
      <c r="D319">
        <v>35.9</v>
      </c>
      <c r="E319">
        <v>215.39999999999998</v>
      </c>
      <c r="F319" s="1">
        <v>45671</v>
      </c>
      <c r="G319" s="1">
        <v>45672</v>
      </c>
      <c r="H319" t="s">
        <v>12</v>
      </c>
      <c r="I319" t="s">
        <v>3</v>
      </c>
      <c r="J319">
        <v>3</v>
      </c>
      <c r="K319" t="s">
        <v>4</v>
      </c>
      <c r="L319" t="s">
        <v>9</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5">
      <c r="A320" t="s">
        <v>388</v>
      </c>
      <c r="B320" t="s">
        <v>11</v>
      </c>
      <c r="C320">
        <v>2</v>
      </c>
      <c r="D320">
        <v>69.099999999999994</v>
      </c>
      <c r="E320">
        <v>138.19999999999999</v>
      </c>
      <c r="F320" s="1">
        <v>45671</v>
      </c>
      <c r="G320" s="1">
        <v>45674</v>
      </c>
      <c r="H320" t="s">
        <v>12</v>
      </c>
      <c r="I320" t="s">
        <v>3</v>
      </c>
      <c r="J320">
        <v>5</v>
      </c>
      <c r="K320" t="s">
        <v>4</v>
      </c>
      <c r="L320" t="s">
        <v>132</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5">
      <c r="A321" t="s">
        <v>389</v>
      </c>
      <c r="B321" t="s">
        <v>27</v>
      </c>
      <c r="C321">
        <v>1</v>
      </c>
      <c r="D321">
        <v>58.4</v>
      </c>
      <c r="E321">
        <v>58.4</v>
      </c>
      <c r="F321" s="1">
        <v>45671</v>
      </c>
      <c r="G321" s="1">
        <v>45675</v>
      </c>
      <c r="H321" t="s">
        <v>8</v>
      </c>
      <c r="I321" t="s">
        <v>3</v>
      </c>
      <c r="J321">
        <v>4</v>
      </c>
      <c r="K321" t="s">
        <v>4</v>
      </c>
      <c r="L321" t="s">
        <v>132</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5">
      <c r="A322" t="s">
        <v>390</v>
      </c>
      <c r="B322" t="s">
        <v>22</v>
      </c>
      <c r="C322">
        <v>1</v>
      </c>
      <c r="D322">
        <v>65.2</v>
      </c>
      <c r="E322">
        <v>65.2</v>
      </c>
      <c r="F322" s="1">
        <v>45671</v>
      </c>
      <c r="G322" s="1">
        <v>45673</v>
      </c>
      <c r="H322" t="s">
        <v>74</v>
      </c>
      <c r="I322" t="s">
        <v>55</v>
      </c>
      <c r="J322">
        <v>2</v>
      </c>
      <c r="K322" t="s">
        <v>4</v>
      </c>
      <c r="L322" t="s">
        <v>18</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5">
      <c r="A323" t="s">
        <v>391</v>
      </c>
      <c r="B323" t="s">
        <v>29</v>
      </c>
      <c r="C323">
        <v>17</v>
      </c>
      <c r="D323">
        <v>32.700000000000003</v>
      </c>
      <c r="E323">
        <v>555.90000000000009</v>
      </c>
      <c r="F323" s="1">
        <v>45671</v>
      </c>
      <c r="G323" s="1">
        <v>45678</v>
      </c>
      <c r="H323" t="s">
        <v>2</v>
      </c>
      <c r="I323" t="s">
        <v>55</v>
      </c>
      <c r="J323">
        <v>4</v>
      </c>
      <c r="K323" t="s">
        <v>4</v>
      </c>
      <c r="L323" t="s">
        <v>18</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5">
      <c r="A324" t="s">
        <v>392</v>
      </c>
      <c r="B324" t="s">
        <v>39</v>
      </c>
      <c r="C324">
        <v>7</v>
      </c>
      <c r="D324">
        <v>24.4</v>
      </c>
      <c r="E324">
        <v>170.79999999999998</v>
      </c>
      <c r="F324" s="1">
        <v>45671</v>
      </c>
      <c r="G324" s="1">
        <v>45672</v>
      </c>
      <c r="H324" t="s">
        <v>12</v>
      </c>
      <c r="I324" t="s">
        <v>3</v>
      </c>
      <c r="J324">
        <v>4</v>
      </c>
      <c r="K324" t="s">
        <v>4</v>
      </c>
      <c r="L324" t="s">
        <v>18</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5">
      <c r="A325" t="s">
        <v>393</v>
      </c>
      <c r="B325" t="s">
        <v>66</v>
      </c>
      <c r="C325">
        <v>2</v>
      </c>
      <c r="D325">
        <v>50.4</v>
      </c>
      <c r="E325">
        <v>100.8</v>
      </c>
      <c r="F325" s="1">
        <v>45671</v>
      </c>
      <c r="G325" s="1">
        <v>45677</v>
      </c>
      <c r="H325" t="s">
        <v>8</v>
      </c>
      <c r="I325" t="s">
        <v>3</v>
      </c>
      <c r="J325">
        <v>3</v>
      </c>
      <c r="K325" t="s">
        <v>4</v>
      </c>
      <c r="L325" t="s">
        <v>18</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5">
      <c r="A326" t="s">
        <v>394</v>
      </c>
      <c r="B326" t="s">
        <v>7</v>
      </c>
      <c r="C326">
        <v>2</v>
      </c>
      <c r="D326">
        <v>100</v>
      </c>
      <c r="E326">
        <v>200</v>
      </c>
      <c r="F326" s="1">
        <v>45671</v>
      </c>
      <c r="G326" s="1">
        <v>45672</v>
      </c>
      <c r="H326" t="s">
        <v>12</v>
      </c>
      <c r="I326" t="s">
        <v>3</v>
      </c>
      <c r="J326">
        <v>4</v>
      </c>
      <c r="K326" t="s">
        <v>4</v>
      </c>
      <c r="L326" t="s">
        <v>18</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5">
      <c r="A327" t="s">
        <v>395</v>
      </c>
      <c r="B327" t="s">
        <v>39</v>
      </c>
      <c r="C327">
        <v>3</v>
      </c>
      <c r="D327">
        <v>43</v>
      </c>
      <c r="E327">
        <v>129</v>
      </c>
      <c r="F327" s="1">
        <v>45672</v>
      </c>
      <c r="G327" s="1">
        <v>45672</v>
      </c>
      <c r="H327" t="s">
        <v>12</v>
      </c>
      <c r="I327" t="s">
        <v>25</v>
      </c>
      <c r="J327">
        <v>3</v>
      </c>
      <c r="K327" t="s">
        <v>4</v>
      </c>
      <c r="L327" t="s">
        <v>18</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5">
      <c r="A328" t="s">
        <v>396</v>
      </c>
      <c r="B328" t="s">
        <v>7</v>
      </c>
      <c r="C328">
        <v>5</v>
      </c>
      <c r="D328">
        <v>64.400000000000006</v>
      </c>
      <c r="E328">
        <v>322</v>
      </c>
      <c r="F328" s="1">
        <v>45672</v>
      </c>
      <c r="G328" s="1">
        <v>45674</v>
      </c>
      <c r="H328" t="s">
        <v>8</v>
      </c>
      <c r="I328" t="s">
        <v>25</v>
      </c>
      <c r="J328">
        <v>3</v>
      </c>
      <c r="K328" t="s">
        <v>4</v>
      </c>
      <c r="L328" t="s">
        <v>18</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5">
      <c r="A329" t="s">
        <v>397</v>
      </c>
      <c r="B329" t="s">
        <v>131</v>
      </c>
      <c r="C329">
        <v>2</v>
      </c>
      <c r="D329">
        <v>57.4</v>
      </c>
      <c r="E329">
        <v>114.8</v>
      </c>
      <c r="F329" s="1">
        <v>45672</v>
      </c>
      <c r="G329" s="1">
        <v>45673</v>
      </c>
      <c r="H329" t="s">
        <v>8</v>
      </c>
      <c r="I329" t="s">
        <v>25</v>
      </c>
      <c r="J329">
        <v>3</v>
      </c>
      <c r="K329" t="s">
        <v>4</v>
      </c>
      <c r="L329" t="s">
        <v>18</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5">
      <c r="A330" t="s">
        <v>398</v>
      </c>
      <c r="B330" t="s">
        <v>11</v>
      </c>
      <c r="C330">
        <v>3</v>
      </c>
      <c r="D330">
        <v>55.1</v>
      </c>
      <c r="E330">
        <v>165.3</v>
      </c>
      <c r="F330" s="1">
        <v>45672</v>
      </c>
      <c r="G330" s="1">
        <v>45675</v>
      </c>
      <c r="H330" t="s">
        <v>12</v>
      </c>
      <c r="I330" t="s">
        <v>20</v>
      </c>
      <c r="J330">
        <v>4</v>
      </c>
      <c r="K330" t="s">
        <v>4</v>
      </c>
      <c r="L330" t="s">
        <v>18</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5">
      <c r="A331" t="s">
        <v>399</v>
      </c>
      <c r="B331" t="s">
        <v>27</v>
      </c>
      <c r="C331">
        <v>4</v>
      </c>
      <c r="D331">
        <v>45.4</v>
      </c>
      <c r="E331">
        <v>181.6</v>
      </c>
      <c r="F331" s="1">
        <v>45672</v>
      </c>
      <c r="G331" s="1">
        <v>45673</v>
      </c>
      <c r="H331" t="s">
        <v>12</v>
      </c>
      <c r="I331" t="s">
        <v>20</v>
      </c>
      <c r="J331">
        <v>4</v>
      </c>
      <c r="K331" t="s">
        <v>4</v>
      </c>
      <c r="L331" t="s">
        <v>18</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5">
      <c r="A332" t="s">
        <v>400</v>
      </c>
      <c r="B332" t="s">
        <v>15</v>
      </c>
      <c r="C332">
        <v>3</v>
      </c>
      <c r="D332">
        <v>93.3</v>
      </c>
      <c r="E332">
        <v>279.89999999999998</v>
      </c>
      <c r="F332" s="1">
        <v>45672</v>
      </c>
      <c r="G332" s="1">
        <v>45673</v>
      </c>
      <c r="H332" t="s">
        <v>12</v>
      </c>
      <c r="I332" t="s">
        <v>3</v>
      </c>
      <c r="J332">
        <v>4</v>
      </c>
      <c r="K332" t="s">
        <v>4</v>
      </c>
      <c r="L332" t="s">
        <v>401</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5">
      <c r="A333" t="s">
        <v>402</v>
      </c>
      <c r="B333" t="s">
        <v>11</v>
      </c>
      <c r="C333">
        <v>19</v>
      </c>
      <c r="D333">
        <v>158.19999999999999</v>
      </c>
      <c r="E333">
        <v>3005.7999999999997</v>
      </c>
      <c r="F333" s="1">
        <v>45672</v>
      </c>
      <c r="G333" s="1">
        <v>45673</v>
      </c>
      <c r="H333" t="s">
        <v>12</v>
      </c>
      <c r="I333" t="s">
        <v>20</v>
      </c>
      <c r="J333">
        <v>5</v>
      </c>
      <c r="K333" t="s">
        <v>4</v>
      </c>
      <c r="L333" t="s">
        <v>83</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5">
      <c r="A334" t="s">
        <v>403</v>
      </c>
      <c r="B334" t="s">
        <v>11</v>
      </c>
      <c r="C334">
        <v>2</v>
      </c>
      <c r="D334">
        <v>74.900000000000006</v>
      </c>
      <c r="E334">
        <v>149.80000000000001</v>
      </c>
      <c r="F334" s="1">
        <v>45672</v>
      </c>
      <c r="G334" s="1">
        <v>45674</v>
      </c>
      <c r="H334" t="s">
        <v>8</v>
      </c>
      <c r="I334" t="s">
        <v>36</v>
      </c>
      <c r="J334">
        <v>4</v>
      </c>
      <c r="K334" t="s">
        <v>4</v>
      </c>
      <c r="L334" t="s">
        <v>40</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5">
      <c r="A335" t="s">
        <v>404</v>
      </c>
      <c r="B335" t="s">
        <v>29</v>
      </c>
      <c r="C335">
        <v>7</v>
      </c>
      <c r="D335">
        <v>26</v>
      </c>
      <c r="E335">
        <v>182</v>
      </c>
      <c r="F335" s="1">
        <v>45672</v>
      </c>
      <c r="G335" s="1">
        <v>45675</v>
      </c>
      <c r="H335" t="s">
        <v>12</v>
      </c>
      <c r="I335" t="s">
        <v>20</v>
      </c>
      <c r="J335">
        <v>4</v>
      </c>
      <c r="K335" t="s">
        <v>4</v>
      </c>
      <c r="L335" t="s">
        <v>47</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5">
      <c r="A336" t="s">
        <v>405</v>
      </c>
      <c r="B336" t="s">
        <v>31</v>
      </c>
      <c r="C336">
        <v>6</v>
      </c>
      <c r="D336">
        <v>37.5</v>
      </c>
      <c r="E336">
        <v>225</v>
      </c>
      <c r="F336" s="1">
        <v>45672</v>
      </c>
      <c r="G336" s="1">
        <v>45673</v>
      </c>
      <c r="H336" t="s">
        <v>12</v>
      </c>
      <c r="I336" t="s">
        <v>3</v>
      </c>
      <c r="J336">
        <v>3</v>
      </c>
      <c r="K336" t="s">
        <v>4</v>
      </c>
      <c r="L336" t="s">
        <v>47</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5">
      <c r="A337" t="s">
        <v>406</v>
      </c>
      <c r="B337" t="s">
        <v>24</v>
      </c>
      <c r="C337">
        <v>2</v>
      </c>
      <c r="D337">
        <v>75.8</v>
      </c>
      <c r="E337">
        <v>151.6</v>
      </c>
      <c r="F337" s="1">
        <v>45672</v>
      </c>
      <c r="G337" s="1">
        <v>45678</v>
      </c>
      <c r="H337" t="s">
        <v>8</v>
      </c>
      <c r="I337" t="s">
        <v>3</v>
      </c>
      <c r="J337">
        <v>4</v>
      </c>
      <c r="K337" t="s">
        <v>4</v>
      </c>
      <c r="L337" t="s">
        <v>47</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5">
      <c r="A338" t="s">
        <v>407</v>
      </c>
      <c r="B338" t="s">
        <v>27</v>
      </c>
      <c r="C338">
        <v>1</v>
      </c>
      <c r="D338">
        <v>48.5</v>
      </c>
      <c r="E338">
        <v>48.5</v>
      </c>
      <c r="F338" s="1">
        <v>45672</v>
      </c>
      <c r="G338" s="1">
        <v>45684</v>
      </c>
      <c r="H338" t="s">
        <v>2</v>
      </c>
      <c r="I338" t="s">
        <v>55</v>
      </c>
      <c r="J338">
        <v>5</v>
      </c>
      <c r="K338" t="s">
        <v>4</v>
      </c>
      <c r="L338" t="s">
        <v>47</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5">
      <c r="A339" t="s">
        <v>408</v>
      </c>
      <c r="B339" t="s">
        <v>24</v>
      </c>
      <c r="C339">
        <v>3</v>
      </c>
      <c r="D339">
        <v>98.9</v>
      </c>
      <c r="E339">
        <v>296.70000000000005</v>
      </c>
      <c r="F339" s="1">
        <v>45672</v>
      </c>
      <c r="G339" s="1">
        <v>45674</v>
      </c>
      <c r="H339" t="s">
        <v>12</v>
      </c>
      <c r="I339" t="s">
        <v>55</v>
      </c>
      <c r="J339">
        <v>3</v>
      </c>
      <c r="K339" t="s">
        <v>4</v>
      </c>
      <c r="L339" t="s">
        <v>47</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5">
      <c r="A340" t="s">
        <v>409</v>
      </c>
      <c r="B340" t="s">
        <v>7</v>
      </c>
      <c r="C340">
        <v>12</v>
      </c>
      <c r="D340">
        <v>50.9</v>
      </c>
      <c r="E340">
        <v>610.79999999999995</v>
      </c>
      <c r="F340" s="1">
        <v>45672</v>
      </c>
      <c r="G340" s="1">
        <v>45672</v>
      </c>
      <c r="H340" t="s">
        <v>8</v>
      </c>
      <c r="I340" t="s">
        <v>55</v>
      </c>
      <c r="J340">
        <v>4</v>
      </c>
      <c r="K340" t="s">
        <v>4</v>
      </c>
      <c r="L340" t="s">
        <v>47</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5">
      <c r="A341" t="s">
        <v>410</v>
      </c>
      <c r="B341" t="s">
        <v>54</v>
      </c>
      <c r="C341">
        <v>6</v>
      </c>
      <c r="D341">
        <v>84.7</v>
      </c>
      <c r="E341">
        <v>508.20000000000005</v>
      </c>
      <c r="F341" s="1">
        <v>45672</v>
      </c>
      <c r="G341" s="1">
        <v>45672</v>
      </c>
      <c r="H341" t="s">
        <v>12</v>
      </c>
      <c r="I341" t="s">
        <v>25</v>
      </c>
      <c r="J341">
        <v>4</v>
      </c>
      <c r="K341" t="s">
        <v>4</v>
      </c>
      <c r="L341" t="s">
        <v>47</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5">
      <c r="A342" t="s">
        <v>411</v>
      </c>
      <c r="B342" t="s">
        <v>29</v>
      </c>
      <c r="C342">
        <v>1</v>
      </c>
      <c r="D342">
        <v>20.7</v>
      </c>
      <c r="E342">
        <v>20.7</v>
      </c>
      <c r="F342" s="1">
        <v>45672</v>
      </c>
      <c r="G342" s="1">
        <v>45674</v>
      </c>
      <c r="H342" t="s">
        <v>12</v>
      </c>
      <c r="I342" t="s">
        <v>36</v>
      </c>
      <c r="J342">
        <v>5</v>
      </c>
      <c r="K342" t="s">
        <v>4</v>
      </c>
      <c r="L342" t="s">
        <v>47</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5">
      <c r="A343" t="s">
        <v>412</v>
      </c>
      <c r="B343" t="s">
        <v>54</v>
      </c>
      <c r="C343">
        <v>9</v>
      </c>
      <c r="D343">
        <v>57.8</v>
      </c>
      <c r="E343">
        <v>520.19999999999993</v>
      </c>
      <c r="F343" s="1">
        <v>45672</v>
      </c>
      <c r="G343" s="1">
        <v>45683</v>
      </c>
      <c r="H343" t="s">
        <v>8</v>
      </c>
      <c r="I343" t="s">
        <v>3</v>
      </c>
      <c r="J343">
        <v>2</v>
      </c>
      <c r="K343" t="s">
        <v>4</v>
      </c>
      <c r="L343" t="s">
        <v>88</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5">
      <c r="A344" t="s">
        <v>413</v>
      </c>
      <c r="B344" t="s">
        <v>11</v>
      </c>
      <c r="C344">
        <v>2</v>
      </c>
      <c r="D344">
        <v>106.9</v>
      </c>
      <c r="E344">
        <v>213.8</v>
      </c>
      <c r="F344" s="1">
        <v>45672</v>
      </c>
      <c r="G344" s="1">
        <v>45674</v>
      </c>
      <c r="H344" t="s">
        <v>12</v>
      </c>
      <c r="I344" t="s">
        <v>3</v>
      </c>
      <c r="J344">
        <v>5</v>
      </c>
      <c r="K344" t="s">
        <v>4</v>
      </c>
      <c r="L344" t="s">
        <v>414</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5">
      <c r="A345" t="s">
        <v>415</v>
      </c>
      <c r="B345" t="s">
        <v>15</v>
      </c>
      <c r="C345">
        <v>5</v>
      </c>
      <c r="D345">
        <v>45.2</v>
      </c>
      <c r="E345">
        <v>226</v>
      </c>
      <c r="F345" s="1">
        <v>45672</v>
      </c>
      <c r="G345" s="1">
        <v>45676</v>
      </c>
      <c r="H345" t="s">
        <v>12</v>
      </c>
      <c r="I345" t="s">
        <v>20</v>
      </c>
      <c r="J345">
        <v>4</v>
      </c>
      <c r="K345" t="s">
        <v>4</v>
      </c>
      <c r="L345" t="s">
        <v>100</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5">
      <c r="A346" t="s">
        <v>416</v>
      </c>
      <c r="B346" t="s">
        <v>29</v>
      </c>
      <c r="C346">
        <v>13</v>
      </c>
      <c r="D346">
        <v>34.6</v>
      </c>
      <c r="E346">
        <v>449.8</v>
      </c>
      <c r="F346" s="1">
        <v>45672</v>
      </c>
      <c r="G346" s="1">
        <v>45672</v>
      </c>
      <c r="H346" t="s">
        <v>12</v>
      </c>
      <c r="I346" t="s">
        <v>20</v>
      </c>
      <c r="J346">
        <v>3</v>
      </c>
      <c r="K346" t="s">
        <v>4</v>
      </c>
      <c r="L346" t="s">
        <v>100</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5">
      <c r="A347" t="s">
        <v>417</v>
      </c>
      <c r="B347" t="s">
        <v>108</v>
      </c>
      <c r="C347">
        <v>1</v>
      </c>
      <c r="D347">
        <v>43.8</v>
      </c>
      <c r="E347">
        <v>43.8</v>
      </c>
      <c r="F347" s="1">
        <v>45672</v>
      </c>
      <c r="G347" s="1">
        <v>45674</v>
      </c>
      <c r="H347" t="s">
        <v>2</v>
      </c>
      <c r="I347" t="s">
        <v>3</v>
      </c>
      <c r="J347">
        <v>5</v>
      </c>
      <c r="K347" t="s">
        <v>4</v>
      </c>
      <c r="L347" t="s">
        <v>100</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5">
      <c r="A348" t="s">
        <v>418</v>
      </c>
      <c r="B348" t="s">
        <v>108</v>
      </c>
      <c r="C348">
        <v>1</v>
      </c>
      <c r="D348">
        <v>20.399999999999999</v>
      </c>
      <c r="E348">
        <v>20.399999999999999</v>
      </c>
      <c r="F348" s="1">
        <v>45672</v>
      </c>
      <c r="G348" s="1">
        <v>45674</v>
      </c>
      <c r="H348" t="s">
        <v>8</v>
      </c>
      <c r="I348" t="s">
        <v>55</v>
      </c>
      <c r="J348">
        <v>3</v>
      </c>
      <c r="K348" t="s">
        <v>4</v>
      </c>
      <c r="L348" t="s">
        <v>100</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5">
      <c r="A349" t="s">
        <v>419</v>
      </c>
      <c r="B349" t="s">
        <v>7</v>
      </c>
      <c r="C349">
        <v>1</v>
      </c>
      <c r="D349">
        <v>36.700000000000003</v>
      </c>
      <c r="E349">
        <v>36.700000000000003</v>
      </c>
      <c r="F349" s="1">
        <v>45672</v>
      </c>
      <c r="G349" s="1">
        <v>45673</v>
      </c>
      <c r="H349" t="s">
        <v>8</v>
      </c>
      <c r="I349" t="s">
        <v>3</v>
      </c>
      <c r="J349">
        <v>3</v>
      </c>
      <c r="K349" t="s">
        <v>4</v>
      </c>
      <c r="L349" t="s">
        <v>9</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5">
      <c r="A350" t="s">
        <v>420</v>
      </c>
      <c r="B350" t="s">
        <v>29</v>
      </c>
      <c r="C350">
        <v>3</v>
      </c>
      <c r="D350">
        <v>27.2</v>
      </c>
      <c r="E350">
        <v>81.599999999999994</v>
      </c>
      <c r="F350" s="1">
        <v>45672</v>
      </c>
      <c r="G350" s="1">
        <v>45676</v>
      </c>
      <c r="H350" t="s">
        <v>8</v>
      </c>
      <c r="I350" t="s">
        <v>3</v>
      </c>
      <c r="J350">
        <v>5</v>
      </c>
      <c r="K350" t="s">
        <v>4</v>
      </c>
      <c r="L350" t="s">
        <v>9</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5">
      <c r="A351" t="s">
        <v>421</v>
      </c>
      <c r="B351" t="s">
        <v>24</v>
      </c>
      <c r="C351">
        <v>1</v>
      </c>
      <c r="D351">
        <v>58.2</v>
      </c>
      <c r="E351">
        <v>58.2</v>
      </c>
      <c r="F351" s="1">
        <v>45672</v>
      </c>
      <c r="G351" s="1">
        <v>45673</v>
      </c>
      <c r="H351" t="s">
        <v>12</v>
      </c>
      <c r="I351" t="s">
        <v>3</v>
      </c>
      <c r="J351">
        <v>5</v>
      </c>
      <c r="K351" t="s">
        <v>4</v>
      </c>
      <c r="L351" t="s">
        <v>422</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5">
      <c r="A352" t="s">
        <v>423</v>
      </c>
      <c r="B352" t="s">
        <v>29</v>
      </c>
      <c r="C352">
        <v>3</v>
      </c>
      <c r="D352">
        <v>25.6</v>
      </c>
      <c r="E352">
        <v>76.800000000000011</v>
      </c>
      <c r="F352" s="1">
        <v>45672</v>
      </c>
      <c r="G352" s="1">
        <v>45673</v>
      </c>
      <c r="H352" t="s">
        <v>8</v>
      </c>
      <c r="I352" t="s">
        <v>55</v>
      </c>
      <c r="J352">
        <v>2</v>
      </c>
      <c r="K352" t="s">
        <v>4</v>
      </c>
      <c r="L352" t="s">
        <v>13</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5">
      <c r="A353" t="s">
        <v>424</v>
      </c>
      <c r="B353" t="s">
        <v>39</v>
      </c>
      <c r="C353">
        <v>1</v>
      </c>
      <c r="D353">
        <v>21.2</v>
      </c>
      <c r="E353">
        <v>21.2</v>
      </c>
      <c r="F353" s="1">
        <v>45672</v>
      </c>
      <c r="G353" s="1">
        <v>45672</v>
      </c>
      <c r="H353" t="s">
        <v>12</v>
      </c>
      <c r="I353" t="s">
        <v>20</v>
      </c>
      <c r="J353">
        <v>5</v>
      </c>
      <c r="K353" t="s">
        <v>4</v>
      </c>
      <c r="L353" t="s">
        <v>18</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5">
      <c r="A354" t="s">
        <v>425</v>
      </c>
      <c r="B354" t="s">
        <v>24</v>
      </c>
      <c r="C354">
        <v>2</v>
      </c>
      <c r="D354">
        <v>48.2</v>
      </c>
      <c r="E354">
        <v>96.4</v>
      </c>
      <c r="F354" s="1">
        <v>45672</v>
      </c>
      <c r="G354" s="1">
        <v>45680</v>
      </c>
      <c r="H354" t="s">
        <v>12</v>
      </c>
      <c r="I354" t="s">
        <v>3</v>
      </c>
      <c r="J354">
        <v>5</v>
      </c>
      <c r="K354" t="s">
        <v>4</v>
      </c>
      <c r="L354" t="s">
        <v>18</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5">
      <c r="A355" t="s">
        <v>426</v>
      </c>
      <c r="B355" t="s">
        <v>7</v>
      </c>
      <c r="C355">
        <v>4</v>
      </c>
      <c r="D355">
        <v>83.4</v>
      </c>
      <c r="E355">
        <v>333.6</v>
      </c>
      <c r="F355" s="1">
        <v>45673</v>
      </c>
      <c r="G355" s="1">
        <v>45674</v>
      </c>
      <c r="H355" t="s">
        <v>8</v>
      </c>
      <c r="I355" t="s">
        <v>3</v>
      </c>
      <c r="J355">
        <v>4</v>
      </c>
      <c r="K355" t="s">
        <v>4</v>
      </c>
      <c r="L355" t="s">
        <v>18</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5">
      <c r="A356" t="s">
        <v>427</v>
      </c>
      <c r="B356" t="s">
        <v>31</v>
      </c>
      <c r="C356">
        <v>3</v>
      </c>
      <c r="D356">
        <v>45.3</v>
      </c>
      <c r="E356">
        <v>135.89999999999998</v>
      </c>
      <c r="F356" s="1">
        <v>45673</v>
      </c>
      <c r="G356" s="1">
        <v>45679</v>
      </c>
      <c r="H356" t="s">
        <v>8</v>
      </c>
      <c r="I356" t="s">
        <v>25</v>
      </c>
      <c r="J356">
        <v>3</v>
      </c>
      <c r="K356" t="s">
        <v>4</v>
      </c>
      <c r="L356" t="s">
        <v>18</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5">
      <c r="A357" t="s">
        <v>428</v>
      </c>
      <c r="B357" t="s">
        <v>120</v>
      </c>
      <c r="C357">
        <v>1</v>
      </c>
      <c r="D357">
        <v>42</v>
      </c>
      <c r="E357">
        <v>42</v>
      </c>
      <c r="F357" s="1">
        <v>45673</v>
      </c>
      <c r="G357" s="1">
        <v>45674</v>
      </c>
      <c r="H357" t="s">
        <v>2</v>
      </c>
      <c r="I357" t="s">
        <v>3</v>
      </c>
      <c r="J357">
        <v>4</v>
      </c>
      <c r="K357" t="s">
        <v>4</v>
      </c>
      <c r="L357" t="s">
        <v>18</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5">
      <c r="A358" t="s">
        <v>429</v>
      </c>
      <c r="B358" t="s">
        <v>1</v>
      </c>
      <c r="C358">
        <v>9</v>
      </c>
      <c r="D358">
        <v>21.8</v>
      </c>
      <c r="E358">
        <v>196.20000000000002</v>
      </c>
      <c r="F358" s="1">
        <v>45673</v>
      </c>
      <c r="G358" s="1">
        <v>45675</v>
      </c>
      <c r="H358" t="s">
        <v>12</v>
      </c>
      <c r="I358" t="s">
        <v>20</v>
      </c>
      <c r="J358">
        <v>4</v>
      </c>
      <c r="K358" t="s">
        <v>4</v>
      </c>
      <c r="L358" t="s">
        <v>18</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5">
      <c r="A359" t="s">
        <v>430</v>
      </c>
      <c r="B359" t="s">
        <v>29</v>
      </c>
      <c r="C359">
        <v>18</v>
      </c>
      <c r="D359">
        <v>21.4</v>
      </c>
      <c r="E359">
        <v>385.2</v>
      </c>
      <c r="F359" s="1">
        <v>45673</v>
      </c>
      <c r="G359" s="1">
        <v>45676</v>
      </c>
      <c r="H359" t="s">
        <v>12</v>
      </c>
      <c r="I359" t="s">
        <v>20</v>
      </c>
      <c r="J359">
        <v>5</v>
      </c>
      <c r="K359" t="s">
        <v>4</v>
      </c>
      <c r="L359" t="s">
        <v>18</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5">
      <c r="A360" t="s">
        <v>431</v>
      </c>
      <c r="B360" t="s">
        <v>39</v>
      </c>
      <c r="C360">
        <v>3</v>
      </c>
      <c r="D360">
        <v>45</v>
      </c>
      <c r="E360">
        <v>135</v>
      </c>
      <c r="F360" s="1">
        <v>45673</v>
      </c>
      <c r="G360" s="1">
        <v>45673</v>
      </c>
      <c r="H360" t="s">
        <v>12</v>
      </c>
      <c r="I360" t="s">
        <v>20</v>
      </c>
      <c r="J360">
        <v>5</v>
      </c>
      <c r="K360" t="s">
        <v>4</v>
      </c>
      <c r="L360" t="s">
        <v>18</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5">
      <c r="A361" t="s">
        <v>432</v>
      </c>
      <c r="B361" t="s">
        <v>66</v>
      </c>
      <c r="C361">
        <v>1</v>
      </c>
      <c r="D361">
        <v>39.6</v>
      </c>
      <c r="E361">
        <v>39.6</v>
      </c>
      <c r="F361" s="1">
        <v>45673</v>
      </c>
      <c r="G361" s="1">
        <v>45674</v>
      </c>
      <c r="H361" t="s">
        <v>8</v>
      </c>
      <c r="I361" t="s">
        <v>3</v>
      </c>
      <c r="J361">
        <v>5</v>
      </c>
      <c r="K361" t="s">
        <v>4</v>
      </c>
      <c r="L361" t="s">
        <v>18</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5">
      <c r="A362" t="s">
        <v>433</v>
      </c>
      <c r="B362" t="s">
        <v>54</v>
      </c>
      <c r="C362">
        <v>3</v>
      </c>
      <c r="D362">
        <v>79.8</v>
      </c>
      <c r="E362">
        <v>239.39999999999998</v>
      </c>
      <c r="F362" s="1">
        <v>45673</v>
      </c>
      <c r="G362" s="1">
        <v>45679</v>
      </c>
      <c r="H362" t="s">
        <v>12</v>
      </c>
      <c r="I362" t="s">
        <v>20</v>
      </c>
      <c r="J362">
        <v>2</v>
      </c>
      <c r="K362" t="s">
        <v>4</v>
      </c>
      <c r="L362" t="s">
        <v>18</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5">
      <c r="A363" t="s">
        <v>434</v>
      </c>
      <c r="B363" t="s">
        <v>7</v>
      </c>
      <c r="C363">
        <v>4</v>
      </c>
      <c r="D363">
        <v>63.6</v>
      </c>
      <c r="E363">
        <v>254.4</v>
      </c>
      <c r="F363" s="1">
        <v>45673</v>
      </c>
      <c r="G363" s="1">
        <v>45674</v>
      </c>
      <c r="H363" t="s">
        <v>74</v>
      </c>
      <c r="I363" t="s">
        <v>3</v>
      </c>
      <c r="J363">
        <v>5</v>
      </c>
      <c r="K363" t="s">
        <v>4</v>
      </c>
      <c r="L363" t="s">
        <v>171</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5">
      <c r="A364" t="s">
        <v>435</v>
      </c>
      <c r="B364" t="s">
        <v>27</v>
      </c>
      <c r="C364">
        <v>10</v>
      </c>
      <c r="D364">
        <v>92.7</v>
      </c>
      <c r="E364">
        <v>927</v>
      </c>
      <c r="F364" s="1">
        <v>45673</v>
      </c>
      <c r="G364" s="1">
        <v>45677</v>
      </c>
      <c r="H364" t="s">
        <v>8</v>
      </c>
      <c r="I364" t="s">
        <v>20</v>
      </c>
      <c r="J364">
        <v>5</v>
      </c>
      <c r="K364" t="s">
        <v>4</v>
      </c>
      <c r="L364" t="s">
        <v>40</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5">
      <c r="A365" t="s">
        <v>436</v>
      </c>
      <c r="B365" t="s">
        <v>7</v>
      </c>
      <c r="C365">
        <v>4</v>
      </c>
      <c r="D365">
        <v>48.4</v>
      </c>
      <c r="E365">
        <v>193.6</v>
      </c>
      <c r="F365" s="1">
        <v>45673</v>
      </c>
      <c r="G365" s="1">
        <v>45675</v>
      </c>
      <c r="H365" t="s">
        <v>12</v>
      </c>
      <c r="I365" t="s">
        <v>20</v>
      </c>
      <c r="J365">
        <v>5</v>
      </c>
      <c r="K365" t="s">
        <v>4</v>
      </c>
      <c r="L365" t="s">
        <v>40</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5">
      <c r="A366" t="s">
        <v>437</v>
      </c>
      <c r="B366" t="s">
        <v>31</v>
      </c>
      <c r="C366">
        <v>8</v>
      </c>
      <c r="D366">
        <v>36</v>
      </c>
      <c r="E366">
        <v>288</v>
      </c>
      <c r="F366" s="1">
        <v>45673</v>
      </c>
      <c r="G366" s="1">
        <v>45676</v>
      </c>
      <c r="H366" t="s">
        <v>8</v>
      </c>
      <c r="I366" t="s">
        <v>25</v>
      </c>
      <c r="J366">
        <v>5</v>
      </c>
      <c r="K366" t="s">
        <v>4</v>
      </c>
      <c r="L366" t="s">
        <v>47</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5">
      <c r="A367" t="s">
        <v>438</v>
      </c>
      <c r="B367" t="s">
        <v>29</v>
      </c>
      <c r="C367">
        <v>12</v>
      </c>
      <c r="D367">
        <v>27</v>
      </c>
      <c r="E367">
        <v>324</v>
      </c>
      <c r="F367" s="1">
        <v>45673</v>
      </c>
      <c r="G367" s="1">
        <v>45675</v>
      </c>
      <c r="H367" t="s">
        <v>12</v>
      </c>
      <c r="I367" t="s">
        <v>25</v>
      </c>
      <c r="J367">
        <v>3</v>
      </c>
      <c r="K367" t="s">
        <v>4</v>
      </c>
      <c r="L367" t="s">
        <v>47</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5">
      <c r="A368" t="s">
        <v>439</v>
      </c>
      <c r="B368" t="s">
        <v>11</v>
      </c>
      <c r="C368">
        <v>8</v>
      </c>
      <c r="D368">
        <v>53.9</v>
      </c>
      <c r="E368">
        <v>431.2</v>
      </c>
      <c r="F368" s="1">
        <v>45673</v>
      </c>
      <c r="G368" s="1">
        <v>45674</v>
      </c>
      <c r="H368" t="s">
        <v>2</v>
      </c>
      <c r="I368" t="s">
        <v>3</v>
      </c>
      <c r="J368">
        <v>4</v>
      </c>
      <c r="K368" t="s">
        <v>4</v>
      </c>
      <c r="L368" t="s">
        <v>47</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5">
      <c r="A369" t="s">
        <v>440</v>
      </c>
      <c r="B369" t="s">
        <v>15</v>
      </c>
      <c r="C369">
        <v>9</v>
      </c>
      <c r="D369">
        <v>48.4</v>
      </c>
      <c r="E369">
        <v>435.59999999999997</v>
      </c>
      <c r="F369" s="1">
        <v>45673</v>
      </c>
      <c r="G369" s="1">
        <v>45674</v>
      </c>
      <c r="H369" t="s">
        <v>12</v>
      </c>
      <c r="I369" t="s">
        <v>20</v>
      </c>
      <c r="J369">
        <v>4</v>
      </c>
      <c r="K369" t="s">
        <v>4</v>
      </c>
      <c r="L369" t="s">
        <v>57</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5">
      <c r="A370" t="s">
        <v>441</v>
      </c>
      <c r="B370" t="s">
        <v>120</v>
      </c>
      <c r="C370">
        <v>2</v>
      </c>
      <c r="D370">
        <v>49.9</v>
      </c>
      <c r="E370">
        <v>99.8</v>
      </c>
      <c r="F370" s="1">
        <v>45673</v>
      </c>
      <c r="G370" s="1">
        <v>45678</v>
      </c>
      <c r="H370" t="s">
        <v>8</v>
      </c>
      <c r="I370" t="s">
        <v>55</v>
      </c>
      <c r="J370">
        <v>2</v>
      </c>
      <c r="K370" t="s">
        <v>4</v>
      </c>
      <c r="L370" t="s">
        <v>59</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5">
      <c r="A371" t="s">
        <v>442</v>
      </c>
      <c r="B371" t="s">
        <v>7</v>
      </c>
      <c r="C371">
        <v>3</v>
      </c>
      <c r="D371">
        <v>51.7</v>
      </c>
      <c r="E371">
        <v>155.10000000000002</v>
      </c>
      <c r="F371" s="1">
        <v>45673</v>
      </c>
      <c r="G371" s="1">
        <v>45674</v>
      </c>
      <c r="H371" t="s">
        <v>12</v>
      </c>
      <c r="I371" t="s">
        <v>3</v>
      </c>
      <c r="J371">
        <v>5</v>
      </c>
      <c r="K371" t="s">
        <v>4</v>
      </c>
      <c r="L371" t="s">
        <v>62</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5">
      <c r="A372" t="s">
        <v>443</v>
      </c>
      <c r="B372" t="s">
        <v>29</v>
      </c>
      <c r="C372">
        <v>3</v>
      </c>
      <c r="D372">
        <v>41.8</v>
      </c>
      <c r="E372">
        <v>125.39999999999999</v>
      </c>
      <c r="F372" s="1">
        <v>45673</v>
      </c>
      <c r="G372" s="1">
        <v>45675</v>
      </c>
      <c r="H372" t="s">
        <v>12</v>
      </c>
      <c r="I372" t="s">
        <v>25</v>
      </c>
      <c r="J372">
        <v>4</v>
      </c>
      <c r="K372" t="s">
        <v>4</v>
      </c>
      <c r="L372" t="s">
        <v>93</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5">
      <c r="A373" t="s">
        <v>444</v>
      </c>
      <c r="B373" t="s">
        <v>17</v>
      </c>
      <c r="C373">
        <v>4</v>
      </c>
      <c r="D373">
        <v>36.200000000000003</v>
      </c>
      <c r="E373">
        <v>144.80000000000001</v>
      </c>
      <c r="F373" s="1">
        <v>45674</v>
      </c>
      <c r="G373" s="1">
        <v>45675</v>
      </c>
      <c r="H373" t="s">
        <v>8</v>
      </c>
      <c r="I373" t="s">
        <v>25</v>
      </c>
      <c r="J373">
        <v>5</v>
      </c>
      <c r="K373" t="s">
        <v>4</v>
      </c>
      <c r="L373" t="s">
        <v>100</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5">
      <c r="A374" t="s">
        <v>445</v>
      </c>
      <c r="B374" t="s">
        <v>11</v>
      </c>
      <c r="C374">
        <v>1</v>
      </c>
      <c r="D374">
        <v>150.9</v>
      </c>
      <c r="E374">
        <v>150.9</v>
      </c>
      <c r="F374" s="1">
        <v>45674</v>
      </c>
      <c r="G374" s="1">
        <v>45684</v>
      </c>
      <c r="H374" t="s">
        <v>8</v>
      </c>
      <c r="I374" t="s">
        <v>3</v>
      </c>
      <c r="J374">
        <v>4</v>
      </c>
      <c r="K374" t="s">
        <v>4</v>
      </c>
      <c r="L374" t="s">
        <v>9</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5">
      <c r="A375" t="s">
        <v>446</v>
      </c>
      <c r="B375" t="s">
        <v>131</v>
      </c>
      <c r="C375">
        <v>4</v>
      </c>
      <c r="D375">
        <v>77.599999999999994</v>
      </c>
      <c r="E375">
        <v>310.39999999999998</v>
      </c>
      <c r="F375" s="1">
        <v>45674</v>
      </c>
      <c r="G375" s="1">
        <v>45675</v>
      </c>
      <c r="H375" t="s">
        <v>2</v>
      </c>
      <c r="I375" t="s">
        <v>25</v>
      </c>
      <c r="J375">
        <v>4</v>
      </c>
      <c r="K375" t="s">
        <v>4</v>
      </c>
      <c r="L375" t="s">
        <v>18</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5">
      <c r="A376" t="s">
        <v>447</v>
      </c>
      <c r="B376" t="s">
        <v>61</v>
      </c>
      <c r="C376">
        <v>5</v>
      </c>
      <c r="D376">
        <v>65.5</v>
      </c>
      <c r="E376">
        <v>327.5</v>
      </c>
      <c r="F376" s="1">
        <v>45674</v>
      </c>
      <c r="G376" s="1">
        <v>45674</v>
      </c>
      <c r="H376" t="s">
        <v>8</v>
      </c>
      <c r="I376" t="s">
        <v>20</v>
      </c>
      <c r="J376">
        <v>4</v>
      </c>
      <c r="K376" t="s">
        <v>4</v>
      </c>
      <c r="L376" t="s">
        <v>18</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5">
      <c r="A377" t="s">
        <v>448</v>
      </c>
      <c r="B377" t="s">
        <v>24</v>
      </c>
      <c r="C377">
        <v>3</v>
      </c>
      <c r="D377">
        <v>90.1</v>
      </c>
      <c r="E377">
        <v>270.29999999999995</v>
      </c>
      <c r="F377" s="1">
        <v>45674</v>
      </c>
      <c r="G377" s="1">
        <v>45676</v>
      </c>
      <c r="H377" t="s">
        <v>12</v>
      </c>
      <c r="I377" t="s">
        <v>3</v>
      </c>
      <c r="J377">
        <v>4</v>
      </c>
      <c r="K377" t="s">
        <v>4</v>
      </c>
      <c r="L377" t="s">
        <v>18</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5">
      <c r="A378" t="s">
        <v>449</v>
      </c>
      <c r="B378" t="s">
        <v>7</v>
      </c>
      <c r="C378">
        <v>2</v>
      </c>
      <c r="D378">
        <v>108.3</v>
      </c>
      <c r="E378">
        <v>216.6</v>
      </c>
      <c r="F378" s="1">
        <v>45674</v>
      </c>
      <c r="G378" s="1">
        <v>45677</v>
      </c>
      <c r="H378" t="s">
        <v>74</v>
      </c>
      <c r="I378" t="s">
        <v>55</v>
      </c>
      <c r="J378">
        <v>4</v>
      </c>
      <c r="K378" t="s">
        <v>4</v>
      </c>
      <c r="L378" t="s">
        <v>18</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5">
      <c r="A379" t="s">
        <v>450</v>
      </c>
      <c r="B379" t="s">
        <v>22</v>
      </c>
      <c r="C379">
        <v>3</v>
      </c>
      <c r="D379">
        <v>59.9</v>
      </c>
      <c r="E379">
        <v>179.7</v>
      </c>
      <c r="F379" s="1">
        <v>45674</v>
      </c>
      <c r="G379" s="1">
        <v>45678</v>
      </c>
      <c r="H379" t="s">
        <v>12</v>
      </c>
      <c r="I379" t="s">
        <v>3</v>
      </c>
      <c r="J379">
        <v>4</v>
      </c>
      <c r="K379" t="s">
        <v>4</v>
      </c>
      <c r="L379" t="s">
        <v>18</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5">
      <c r="A380" t="s">
        <v>451</v>
      </c>
      <c r="B380" t="s">
        <v>11</v>
      </c>
      <c r="C380">
        <v>17</v>
      </c>
      <c r="D380">
        <v>139</v>
      </c>
      <c r="E380">
        <v>2363</v>
      </c>
      <c r="F380" s="1">
        <v>45674</v>
      </c>
      <c r="G380" s="1">
        <v>45676</v>
      </c>
      <c r="H380" t="s">
        <v>12</v>
      </c>
      <c r="I380" t="s">
        <v>20</v>
      </c>
      <c r="J380">
        <v>2</v>
      </c>
      <c r="K380" t="s">
        <v>4</v>
      </c>
      <c r="L380" t="s">
        <v>18</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5">
      <c r="A381" t="s">
        <v>452</v>
      </c>
      <c r="B381" t="s">
        <v>24</v>
      </c>
      <c r="C381">
        <v>3</v>
      </c>
      <c r="D381">
        <v>87.3</v>
      </c>
      <c r="E381">
        <v>261.89999999999998</v>
      </c>
      <c r="F381" s="1">
        <v>45674</v>
      </c>
      <c r="G381" s="1">
        <v>45675</v>
      </c>
      <c r="H381" t="s">
        <v>12</v>
      </c>
      <c r="I381" t="s">
        <v>3</v>
      </c>
      <c r="J381">
        <v>4</v>
      </c>
      <c r="K381" t="s">
        <v>4</v>
      </c>
      <c r="L381" t="s">
        <v>18</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5">
      <c r="A382" t="s">
        <v>453</v>
      </c>
      <c r="B382" t="s">
        <v>52</v>
      </c>
      <c r="C382">
        <v>4</v>
      </c>
      <c r="D382">
        <v>42.3</v>
      </c>
      <c r="E382">
        <v>169.2</v>
      </c>
      <c r="F382" s="1">
        <v>45674</v>
      </c>
      <c r="G382" s="1">
        <v>45674</v>
      </c>
      <c r="H382" t="s">
        <v>8</v>
      </c>
      <c r="I382" t="s">
        <v>3</v>
      </c>
      <c r="J382">
        <v>4</v>
      </c>
      <c r="K382" t="s">
        <v>4</v>
      </c>
      <c r="L382" t="s">
        <v>18</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5">
      <c r="A383" t="s">
        <v>454</v>
      </c>
      <c r="B383" t="s">
        <v>66</v>
      </c>
      <c r="C383">
        <v>8</v>
      </c>
      <c r="D383">
        <v>103.6</v>
      </c>
      <c r="E383">
        <v>828.8</v>
      </c>
      <c r="F383" s="1">
        <v>45674</v>
      </c>
      <c r="G383" s="1">
        <v>45675</v>
      </c>
      <c r="H383" t="s">
        <v>74</v>
      </c>
      <c r="I383" t="s">
        <v>3</v>
      </c>
      <c r="J383">
        <v>3</v>
      </c>
      <c r="K383" t="s">
        <v>4</v>
      </c>
      <c r="L383" t="s">
        <v>18</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5">
      <c r="A384" t="s">
        <v>455</v>
      </c>
      <c r="B384" t="s">
        <v>24</v>
      </c>
      <c r="C384">
        <v>2</v>
      </c>
      <c r="D384">
        <v>90.9</v>
      </c>
      <c r="E384">
        <v>181.8</v>
      </c>
      <c r="F384" s="1">
        <v>45674</v>
      </c>
      <c r="G384" s="1">
        <v>45675</v>
      </c>
      <c r="H384" t="s">
        <v>8</v>
      </c>
      <c r="I384" t="s">
        <v>20</v>
      </c>
      <c r="J384">
        <v>4</v>
      </c>
      <c r="K384" t="s">
        <v>4</v>
      </c>
      <c r="L384" t="s">
        <v>40</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5">
      <c r="A385" t="s">
        <v>456</v>
      </c>
      <c r="B385" t="s">
        <v>31</v>
      </c>
      <c r="C385">
        <v>16</v>
      </c>
      <c r="D385">
        <v>100.9</v>
      </c>
      <c r="E385">
        <v>1614.4</v>
      </c>
      <c r="F385" s="1">
        <v>45674</v>
      </c>
      <c r="G385" s="1">
        <v>45675</v>
      </c>
      <c r="H385" t="s">
        <v>12</v>
      </c>
      <c r="I385" t="s">
        <v>20</v>
      </c>
      <c r="J385">
        <v>4</v>
      </c>
      <c r="K385" t="s">
        <v>4</v>
      </c>
      <c r="L385" t="s">
        <v>40</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5">
      <c r="A386" t="s">
        <v>457</v>
      </c>
      <c r="B386" t="s">
        <v>17</v>
      </c>
      <c r="C386">
        <v>5</v>
      </c>
      <c r="D386">
        <v>36</v>
      </c>
      <c r="E386">
        <v>180</v>
      </c>
      <c r="F386" s="1">
        <v>45674</v>
      </c>
      <c r="G386" s="1">
        <v>45676</v>
      </c>
      <c r="H386" t="s">
        <v>12</v>
      </c>
      <c r="I386" t="s">
        <v>20</v>
      </c>
      <c r="J386">
        <v>4</v>
      </c>
      <c r="K386" t="s">
        <v>4</v>
      </c>
      <c r="L386" t="s">
        <v>44</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5">
      <c r="A387" t="s">
        <v>458</v>
      </c>
      <c r="B387" t="s">
        <v>24</v>
      </c>
      <c r="C387">
        <v>6</v>
      </c>
      <c r="D387">
        <v>83.3</v>
      </c>
      <c r="E387">
        <v>499.79999999999995</v>
      </c>
      <c r="F387" s="1">
        <v>45674</v>
      </c>
      <c r="G387" s="1">
        <v>45677</v>
      </c>
      <c r="H387" t="s">
        <v>2</v>
      </c>
      <c r="I387" t="s">
        <v>25</v>
      </c>
      <c r="J387">
        <v>4</v>
      </c>
      <c r="K387" t="s">
        <v>4</v>
      </c>
      <c r="L387" t="s">
        <v>44</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5">
      <c r="A388" t="s">
        <v>459</v>
      </c>
      <c r="B388" t="s">
        <v>11</v>
      </c>
      <c r="C388">
        <v>17</v>
      </c>
      <c r="D388">
        <v>60.3</v>
      </c>
      <c r="E388">
        <v>1025.0999999999999</v>
      </c>
      <c r="F388" s="1">
        <v>45674</v>
      </c>
      <c r="G388" s="1">
        <v>45675</v>
      </c>
      <c r="H388" t="s">
        <v>8</v>
      </c>
      <c r="I388" t="s">
        <v>25</v>
      </c>
      <c r="J388">
        <v>3</v>
      </c>
      <c r="K388" t="s">
        <v>4</v>
      </c>
      <c r="L388" t="s">
        <v>44</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5">
      <c r="A389" t="s">
        <v>460</v>
      </c>
      <c r="B389" t="s">
        <v>11</v>
      </c>
      <c r="C389">
        <v>6</v>
      </c>
      <c r="D389">
        <v>120.3</v>
      </c>
      <c r="E389">
        <v>721.8</v>
      </c>
      <c r="F389" s="1">
        <v>45674</v>
      </c>
      <c r="G389" s="1">
        <v>45675</v>
      </c>
      <c r="H389" t="s">
        <v>8</v>
      </c>
      <c r="I389" t="s">
        <v>25</v>
      </c>
      <c r="J389">
        <v>4</v>
      </c>
      <c r="K389" t="s">
        <v>4</v>
      </c>
      <c r="L389" t="s">
        <v>47</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5">
      <c r="A390" t="s">
        <v>461</v>
      </c>
      <c r="B390" t="s">
        <v>17</v>
      </c>
      <c r="C390">
        <v>10</v>
      </c>
      <c r="D390">
        <v>34</v>
      </c>
      <c r="E390">
        <v>340</v>
      </c>
      <c r="F390" s="1">
        <v>45674</v>
      </c>
      <c r="G390" s="1">
        <v>45678</v>
      </c>
      <c r="H390" t="s">
        <v>12</v>
      </c>
      <c r="I390" t="s">
        <v>25</v>
      </c>
      <c r="J390">
        <v>4</v>
      </c>
      <c r="K390" t="s">
        <v>4</v>
      </c>
      <c r="L390" t="s">
        <v>47</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5">
      <c r="A391" t="s">
        <v>462</v>
      </c>
      <c r="B391" t="s">
        <v>39</v>
      </c>
      <c r="C391">
        <v>5</v>
      </c>
      <c r="D391">
        <v>42.6</v>
      </c>
      <c r="E391">
        <v>213</v>
      </c>
      <c r="F391" s="1">
        <v>45674</v>
      </c>
      <c r="G391" s="1">
        <v>45677</v>
      </c>
      <c r="H391" t="s">
        <v>8</v>
      </c>
      <c r="I391" t="s">
        <v>20</v>
      </c>
      <c r="J391">
        <v>4</v>
      </c>
      <c r="K391" t="s">
        <v>4</v>
      </c>
      <c r="L391" t="s">
        <v>47</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5">
      <c r="A392" t="s">
        <v>463</v>
      </c>
      <c r="B392" t="s">
        <v>22</v>
      </c>
      <c r="C392">
        <v>20</v>
      </c>
      <c r="D392">
        <v>47.4</v>
      </c>
      <c r="E392">
        <v>948</v>
      </c>
      <c r="F392" s="1">
        <v>45674</v>
      </c>
      <c r="G392" s="1">
        <v>45674</v>
      </c>
      <c r="H392" t="s">
        <v>12</v>
      </c>
      <c r="I392" t="s">
        <v>25</v>
      </c>
      <c r="J392">
        <v>3</v>
      </c>
      <c r="K392" t="s">
        <v>4</v>
      </c>
      <c r="L392" t="s">
        <v>88</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5">
      <c r="A393" t="s">
        <v>464</v>
      </c>
      <c r="B393" t="s">
        <v>11</v>
      </c>
      <c r="C393">
        <v>1</v>
      </c>
      <c r="D393">
        <v>74</v>
      </c>
      <c r="E393">
        <v>74</v>
      </c>
      <c r="F393" s="1">
        <v>45675</v>
      </c>
      <c r="G393" s="1">
        <v>45676</v>
      </c>
      <c r="H393" t="s">
        <v>8</v>
      </c>
      <c r="I393" t="s">
        <v>20</v>
      </c>
      <c r="J393">
        <v>4</v>
      </c>
      <c r="K393" t="s">
        <v>4</v>
      </c>
      <c r="L393" t="s">
        <v>62</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5">
      <c r="A394" t="s">
        <v>465</v>
      </c>
      <c r="B394" t="s">
        <v>11</v>
      </c>
      <c r="C394">
        <v>5</v>
      </c>
      <c r="D394">
        <v>60.4</v>
      </c>
      <c r="E394">
        <v>302</v>
      </c>
      <c r="F394" s="1">
        <v>45675</v>
      </c>
      <c r="G394" s="1">
        <v>45678</v>
      </c>
      <c r="H394" t="s">
        <v>12</v>
      </c>
      <c r="I394" t="s">
        <v>20</v>
      </c>
      <c r="J394">
        <v>2</v>
      </c>
      <c r="K394" t="s">
        <v>4</v>
      </c>
      <c r="L394" t="s">
        <v>93</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5">
      <c r="A395" t="s">
        <v>466</v>
      </c>
      <c r="B395" t="s">
        <v>54</v>
      </c>
      <c r="C395">
        <v>2</v>
      </c>
      <c r="D395">
        <v>69.3</v>
      </c>
      <c r="E395">
        <v>138.6</v>
      </c>
      <c r="F395" s="1">
        <v>45675</v>
      </c>
      <c r="G395" s="1">
        <v>45678</v>
      </c>
      <c r="H395" t="s">
        <v>8</v>
      </c>
      <c r="I395" t="s">
        <v>20</v>
      </c>
      <c r="J395">
        <v>3</v>
      </c>
      <c r="K395" t="s">
        <v>4</v>
      </c>
      <c r="L395" t="s">
        <v>67</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5">
      <c r="A396" t="s">
        <v>467</v>
      </c>
      <c r="B396" t="s">
        <v>22</v>
      </c>
      <c r="C396">
        <v>5</v>
      </c>
      <c r="D396">
        <v>81</v>
      </c>
      <c r="E396">
        <v>405</v>
      </c>
      <c r="F396" s="1">
        <v>45675</v>
      </c>
      <c r="G396" s="1">
        <v>45681</v>
      </c>
      <c r="H396" t="s">
        <v>8</v>
      </c>
      <c r="I396" t="s">
        <v>36</v>
      </c>
      <c r="J396">
        <v>4</v>
      </c>
      <c r="K396" t="s">
        <v>4</v>
      </c>
      <c r="L396" t="s">
        <v>100</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5">
      <c r="A397" t="s">
        <v>468</v>
      </c>
      <c r="B397" t="s">
        <v>108</v>
      </c>
      <c r="C397">
        <v>3</v>
      </c>
      <c r="D397">
        <v>41.5</v>
      </c>
      <c r="E397">
        <v>124.5</v>
      </c>
      <c r="F397" s="1">
        <v>45675</v>
      </c>
      <c r="G397" s="1">
        <v>45677</v>
      </c>
      <c r="H397" t="s">
        <v>74</v>
      </c>
      <c r="I397" t="s">
        <v>20</v>
      </c>
      <c r="J397">
        <v>4</v>
      </c>
      <c r="K397" t="s">
        <v>4</v>
      </c>
      <c r="L397" t="s">
        <v>100</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5">
      <c r="A398" t="s">
        <v>469</v>
      </c>
      <c r="B398" t="s">
        <v>131</v>
      </c>
      <c r="C398">
        <v>2</v>
      </c>
      <c r="D398">
        <v>69.7</v>
      </c>
      <c r="E398">
        <v>139.4</v>
      </c>
      <c r="F398" s="1">
        <v>45675</v>
      </c>
      <c r="G398" s="1">
        <v>45680</v>
      </c>
      <c r="H398" t="s">
        <v>8</v>
      </c>
      <c r="I398" t="s">
        <v>20</v>
      </c>
      <c r="J398">
        <v>4</v>
      </c>
      <c r="K398" t="s">
        <v>4</v>
      </c>
      <c r="L398" t="s">
        <v>100</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5">
      <c r="A399" t="s">
        <v>470</v>
      </c>
      <c r="B399" t="s">
        <v>11</v>
      </c>
      <c r="C399">
        <v>5</v>
      </c>
      <c r="D399">
        <v>83.6</v>
      </c>
      <c r="E399">
        <v>418</v>
      </c>
      <c r="F399" s="1">
        <v>45675</v>
      </c>
      <c r="G399" s="1">
        <v>45675</v>
      </c>
      <c r="H399" t="s">
        <v>12</v>
      </c>
      <c r="I399" t="s">
        <v>55</v>
      </c>
      <c r="J399">
        <v>4</v>
      </c>
      <c r="K399" t="s">
        <v>4</v>
      </c>
      <c r="L399" t="s">
        <v>9</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5">
      <c r="A400" t="s">
        <v>471</v>
      </c>
      <c r="B400" t="s">
        <v>29</v>
      </c>
      <c r="C400">
        <v>7</v>
      </c>
      <c r="D400">
        <v>21.5</v>
      </c>
      <c r="E400">
        <v>150.5</v>
      </c>
      <c r="F400" s="1">
        <v>45675</v>
      </c>
      <c r="G400" s="1">
        <v>45677</v>
      </c>
      <c r="H400" t="s">
        <v>8</v>
      </c>
      <c r="I400" t="s">
        <v>20</v>
      </c>
      <c r="J400">
        <v>2</v>
      </c>
      <c r="K400" t="s">
        <v>4</v>
      </c>
      <c r="L400" t="s">
        <v>319</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5">
      <c r="A401" t="s">
        <v>472</v>
      </c>
      <c r="B401" t="s">
        <v>29</v>
      </c>
      <c r="C401">
        <v>8</v>
      </c>
      <c r="D401">
        <v>28.6</v>
      </c>
      <c r="E401">
        <v>228.8</v>
      </c>
      <c r="F401" s="1">
        <v>45675</v>
      </c>
      <c r="G401" s="1">
        <v>45676</v>
      </c>
      <c r="H401" t="s">
        <v>8</v>
      </c>
      <c r="I401" t="s">
        <v>3</v>
      </c>
      <c r="J401">
        <v>4</v>
      </c>
      <c r="K401" t="s">
        <v>4</v>
      </c>
      <c r="L401" t="s">
        <v>18</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5">
      <c r="A402" t="s">
        <v>473</v>
      </c>
      <c r="B402" t="s">
        <v>29</v>
      </c>
      <c r="C402">
        <v>6</v>
      </c>
      <c r="D402">
        <v>18.8</v>
      </c>
      <c r="E402">
        <v>112.80000000000001</v>
      </c>
      <c r="F402" s="1">
        <v>45675</v>
      </c>
      <c r="G402" s="1">
        <v>45678</v>
      </c>
      <c r="H402" t="s">
        <v>8</v>
      </c>
      <c r="I402" t="s">
        <v>36</v>
      </c>
      <c r="J402">
        <v>5</v>
      </c>
      <c r="K402" t="s">
        <v>4</v>
      </c>
      <c r="L402" t="s">
        <v>18</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5">
      <c r="A403" t="s">
        <v>474</v>
      </c>
      <c r="B403" t="s">
        <v>39</v>
      </c>
      <c r="C403">
        <v>4</v>
      </c>
      <c r="D403">
        <v>35.1</v>
      </c>
      <c r="E403">
        <v>140.4</v>
      </c>
      <c r="F403" s="1">
        <v>45675</v>
      </c>
      <c r="G403" s="1">
        <v>45675</v>
      </c>
      <c r="H403" t="s">
        <v>12</v>
      </c>
      <c r="I403" t="s">
        <v>20</v>
      </c>
      <c r="J403">
        <v>3</v>
      </c>
      <c r="K403" t="s">
        <v>4</v>
      </c>
      <c r="L403" t="s">
        <v>18</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5">
      <c r="A404" t="s">
        <v>475</v>
      </c>
      <c r="B404" t="s">
        <v>1</v>
      </c>
      <c r="C404">
        <v>2</v>
      </c>
      <c r="D404">
        <v>12.7</v>
      </c>
      <c r="E404">
        <v>25.4</v>
      </c>
      <c r="F404" s="1">
        <v>45675</v>
      </c>
      <c r="G404" s="1">
        <v>45677</v>
      </c>
      <c r="H404" t="s">
        <v>12</v>
      </c>
      <c r="I404" t="s">
        <v>20</v>
      </c>
      <c r="J404">
        <v>5</v>
      </c>
      <c r="K404" t="s">
        <v>4</v>
      </c>
      <c r="L404" t="s">
        <v>18</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5">
      <c r="A405" t="s">
        <v>476</v>
      </c>
      <c r="B405" t="s">
        <v>29</v>
      </c>
      <c r="C405">
        <v>5</v>
      </c>
      <c r="D405">
        <v>27.4</v>
      </c>
      <c r="E405">
        <v>137</v>
      </c>
      <c r="F405" s="1">
        <v>45675</v>
      </c>
      <c r="G405" s="1">
        <v>45677</v>
      </c>
      <c r="H405" t="s">
        <v>74</v>
      </c>
      <c r="I405" t="s">
        <v>3</v>
      </c>
      <c r="J405">
        <v>4</v>
      </c>
      <c r="K405" t="s">
        <v>4</v>
      </c>
      <c r="L405" t="s">
        <v>18</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5">
      <c r="A406" t="s">
        <v>477</v>
      </c>
      <c r="B406" t="s">
        <v>39</v>
      </c>
      <c r="C406">
        <v>2</v>
      </c>
      <c r="D406">
        <v>61.3</v>
      </c>
      <c r="E406">
        <v>122.6</v>
      </c>
      <c r="F406" s="1">
        <v>45675</v>
      </c>
      <c r="G406" s="1">
        <v>45676</v>
      </c>
      <c r="H406" t="s">
        <v>12</v>
      </c>
      <c r="I406" t="s">
        <v>20</v>
      </c>
      <c r="J406">
        <v>4</v>
      </c>
      <c r="K406" t="s">
        <v>4</v>
      </c>
      <c r="L406" t="s">
        <v>40</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5">
      <c r="A407" t="s">
        <v>478</v>
      </c>
      <c r="B407" t="s">
        <v>29</v>
      </c>
      <c r="C407">
        <v>2</v>
      </c>
      <c r="D407">
        <v>64.7</v>
      </c>
      <c r="E407">
        <v>129.4</v>
      </c>
      <c r="F407" s="1">
        <v>45675</v>
      </c>
      <c r="G407" s="1">
        <v>45677</v>
      </c>
      <c r="H407" t="s">
        <v>12</v>
      </c>
      <c r="I407" t="s">
        <v>36</v>
      </c>
      <c r="J407">
        <v>5</v>
      </c>
      <c r="K407" t="s">
        <v>4</v>
      </c>
      <c r="L407" t="s">
        <v>40</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5">
      <c r="A408" t="s">
        <v>479</v>
      </c>
      <c r="B408" t="s">
        <v>27</v>
      </c>
      <c r="C408">
        <v>4</v>
      </c>
      <c r="D408">
        <v>91.4</v>
      </c>
      <c r="E408">
        <v>365.6</v>
      </c>
      <c r="F408" s="1">
        <v>45675</v>
      </c>
      <c r="G408" s="1">
        <v>45677</v>
      </c>
      <c r="H408" t="s">
        <v>12</v>
      </c>
      <c r="I408" t="s">
        <v>3</v>
      </c>
      <c r="J408">
        <v>4</v>
      </c>
      <c r="K408" t="s">
        <v>4</v>
      </c>
      <c r="L408" t="s">
        <v>47</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5">
      <c r="A409" t="s">
        <v>480</v>
      </c>
      <c r="B409" t="s">
        <v>1</v>
      </c>
      <c r="C409">
        <v>2</v>
      </c>
      <c r="D409">
        <v>33.1</v>
      </c>
      <c r="E409">
        <v>66.2</v>
      </c>
      <c r="F409" s="1">
        <v>45676</v>
      </c>
      <c r="G409" s="1">
        <v>45677</v>
      </c>
      <c r="H409" t="s">
        <v>8</v>
      </c>
      <c r="I409" t="s">
        <v>3</v>
      </c>
      <c r="J409">
        <v>5</v>
      </c>
      <c r="K409" t="s">
        <v>4</v>
      </c>
      <c r="L409" t="s">
        <v>47</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5">
      <c r="A410" t="s">
        <v>481</v>
      </c>
      <c r="B410" t="s">
        <v>15</v>
      </c>
      <c r="C410">
        <v>2</v>
      </c>
      <c r="D410">
        <v>105.6</v>
      </c>
      <c r="E410">
        <v>211.2</v>
      </c>
      <c r="F410" s="1">
        <v>45676</v>
      </c>
      <c r="G410" s="1">
        <v>45677</v>
      </c>
      <c r="H410" t="s">
        <v>8</v>
      </c>
      <c r="I410" t="s">
        <v>25</v>
      </c>
      <c r="J410">
        <v>3</v>
      </c>
      <c r="K410" t="s">
        <v>4</v>
      </c>
      <c r="L410" t="s">
        <v>47</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5">
      <c r="A411" t="s">
        <v>482</v>
      </c>
      <c r="B411" t="s">
        <v>39</v>
      </c>
      <c r="C411">
        <v>3</v>
      </c>
      <c r="D411">
        <v>46.4</v>
      </c>
      <c r="E411">
        <v>139.19999999999999</v>
      </c>
      <c r="F411" s="1">
        <v>45676</v>
      </c>
      <c r="G411" s="1">
        <v>45677</v>
      </c>
      <c r="H411" t="s">
        <v>8</v>
      </c>
      <c r="I411" t="s">
        <v>25</v>
      </c>
      <c r="J411">
        <v>4</v>
      </c>
      <c r="K411" t="s">
        <v>4</v>
      </c>
      <c r="L411" t="s">
        <v>57</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5">
      <c r="A412" t="s">
        <v>483</v>
      </c>
      <c r="B412" t="s">
        <v>31</v>
      </c>
      <c r="C412">
        <v>14</v>
      </c>
      <c r="D412">
        <v>35.299999999999997</v>
      </c>
      <c r="E412">
        <v>494.19999999999993</v>
      </c>
      <c r="F412" s="1">
        <v>45676</v>
      </c>
      <c r="G412" s="1">
        <v>45679</v>
      </c>
      <c r="H412" t="s">
        <v>12</v>
      </c>
      <c r="I412" t="s">
        <v>55</v>
      </c>
      <c r="J412">
        <v>3</v>
      </c>
      <c r="K412" t="s">
        <v>4</v>
      </c>
      <c r="L412" t="s">
        <v>62</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5">
      <c r="A413" t="s">
        <v>484</v>
      </c>
      <c r="B413" t="s">
        <v>1</v>
      </c>
      <c r="C413">
        <v>2</v>
      </c>
      <c r="D413">
        <v>16.100000000000001</v>
      </c>
      <c r="E413">
        <v>32.200000000000003</v>
      </c>
      <c r="F413" s="1">
        <v>45676</v>
      </c>
      <c r="G413" s="1">
        <v>45678</v>
      </c>
      <c r="H413" t="s">
        <v>8</v>
      </c>
      <c r="I413" t="s">
        <v>36</v>
      </c>
      <c r="J413">
        <v>5</v>
      </c>
      <c r="K413" t="s">
        <v>4</v>
      </c>
      <c r="L413" t="s">
        <v>294</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5">
      <c r="A414" t="s">
        <v>485</v>
      </c>
      <c r="B414" t="s">
        <v>17</v>
      </c>
      <c r="C414">
        <v>2</v>
      </c>
      <c r="D414">
        <v>27.9</v>
      </c>
      <c r="E414">
        <v>55.8</v>
      </c>
      <c r="F414" s="1">
        <v>45676</v>
      </c>
      <c r="G414" s="1">
        <v>45679</v>
      </c>
      <c r="H414" t="s">
        <v>8</v>
      </c>
      <c r="I414" t="s">
        <v>3</v>
      </c>
      <c r="J414">
        <v>4</v>
      </c>
      <c r="K414" t="s">
        <v>4</v>
      </c>
      <c r="L414" t="s">
        <v>67</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5">
      <c r="A415" t="s">
        <v>486</v>
      </c>
      <c r="B415" t="s">
        <v>29</v>
      </c>
      <c r="C415">
        <v>1</v>
      </c>
      <c r="D415">
        <v>47.1</v>
      </c>
      <c r="E415">
        <v>47.1</v>
      </c>
      <c r="F415" s="1">
        <v>45676</v>
      </c>
      <c r="G415" s="1">
        <v>45684</v>
      </c>
      <c r="H415" t="s">
        <v>12</v>
      </c>
      <c r="I415" t="s">
        <v>20</v>
      </c>
      <c r="J415">
        <v>4</v>
      </c>
      <c r="K415" t="s">
        <v>4</v>
      </c>
      <c r="L415" t="s">
        <v>13</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5">
      <c r="A416" t="s">
        <v>487</v>
      </c>
      <c r="B416" t="s">
        <v>24</v>
      </c>
      <c r="C416">
        <v>2</v>
      </c>
      <c r="D416">
        <v>85</v>
      </c>
      <c r="E416">
        <v>170</v>
      </c>
      <c r="F416" s="1">
        <v>45676</v>
      </c>
      <c r="G416" s="1">
        <v>45679</v>
      </c>
      <c r="H416" t="s">
        <v>2</v>
      </c>
      <c r="I416" t="s">
        <v>25</v>
      </c>
      <c r="J416">
        <v>5</v>
      </c>
      <c r="K416" t="s">
        <v>4</v>
      </c>
      <c r="L416" t="s">
        <v>132</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5">
      <c r="A417" t="s">
        <v>488</v>
      </c>
      <c r="B417" t="s">
        <v>131</v>
      </c>
      <c r="C417">
        <v>2</v>
      </c>
      <c r="D417">
        <v>89</v>
      </c>
      <c r="E417">
        <v>178</v>
      </c>
      <c r="F417" s="1">
        <v>45676</v>
      </c>
      <c r="G417" s="1">
        <v>45678</v>
      </c>
      <c r="H417" t="s">
        <v>12</v>
      </c>
      <c r="I417" t="s">
        <v>3</v>
      </c>
      <c r="J417">
        <v>4</v>
      </c>
      <c r="K417" t="s">
        <v>4</v>
      </c>
      <c r="L417" t="s">
        <v>18</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5">
      <c r="A418" t="s">
        <v>489</v>
      </c>
      <c r="B418" t="s">
        <v>113</v>
      </c>
      <c r="C418">
        <v>3</v>
      </c>
      <c r="D418">
        <v>36.6</v>
      </c>
      <c r="E418">
        <v>109.80000000000001</v>
      </c>
      <c r="F418" s="1">
        <v>45676</v>
      </c>
      <c r="G418" s="1">
        <v>45677</v>
      </c>
      <c r="H418" t="s">
        <v>74</v>
      </c>
      <c r="I418" t="s">
        <v>36</v>
      </c>
      <c r="J418">
        <v>5</v>
      </c>
      <c r="K418" t="s">
        <v>4</v>
      </c>
      <c r="L418" t="s">
        <v>18</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5">
      <c r="A419" t="s">
        <v>490</v>
      </c>
      <c r="B419" t="s">
        <v>24</v>
      </c>
      <c r="C419">
        <v>7</v>
      </c>
      <c r="D419">
        <v>43.5</v>
      </c>
      <c r="E419">
        <v>304.5</v>
      </c>
      <c r="F419" s="1">
        <v>45676</v>
      </c>
      <c r="G419" s="1">
        <v>45677</v>
      </c>
      <c r="H419" t="s">
        <v>8</v>
      </c>
      <c r="I419" t="s">
        <v>20</v>
      </c>
      <c r="J419">
        <v>5</v>
      </c>
      <c r="K419" t="s">
        <v>4</v>
      </c>
      <c r="L419" t="s">
        <v>18</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5">
      <c r="A420" t="s">
        <v>491</v>
      </c>
      <c r="B420" t="s">
        <v>31</v>
      </c>
      <c r="C420">
        <v>19</v>
      </c>
      <c r="D420">
        <v>30.5</v>
      </c>
      <c r="E420">
        <v>579.5</v>
      </c>
      <c r="F420" s="1">
        <v>45676</v>
      </c>
      <c r="G420" s="1">
        <v>45676</v>
      </c>
      <c r="H420" t="s">
        <v>12</v>
      </c>
      <c r="I420" t="s">
        <v>36</v>
      </c>
      <c r="J420">
        <v>4</v>
      </c>
      <c r="K420" t="s">
        <v>4</v>
      </c>
      <c r="L420" t="s">
        <v>18</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5">
      <c r="A421" t="s">
        <v>492</v>
      </c>
      <c r="B421" t="s">
        <v>7</v>
      </c>
      <c r="C421">
        <v>2</v>
      </c>
      <c r="D421">
        <v>107.7</v>
      </c>
      <c r="E421">
        <v>215.4</v>
      </c>
      <c r="F421" s="1">
        <v>45676</v>
      </c>
      <c r="G421" s="1">
        <v>45680</v>
      </c>
      <c r="H421" t="s">
        <v>8</v>
      </c>
      <c r="I421" t="s">
        <v>36</v>
      </c>
      <c r="J421">
        <v>2</v>
      </c>
      <c r="K421" t="s">
        <v>4</v>
      </c>
      <c r="L421" t="s">
        <v>18</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5">
      <c r="A422" t="s">
        <v>493</v>
      </c>
      <c r="B422" t="s">
        <v>120</v>
      </c>
      <c r="C422">
        <v>26</v>
      </c>
      <c r="D422">
        <v>57.1</v>
      </c>
      <c r="E422">
        <v>1484.6000000000001</v>
      </c>
      <c r="F422" s="1">
        <v>45676</v>
      </c>
      <c r="G422" s="1">
        <v>45677</v>
      </c>
      <c r="H422" t="s">
        <v>8</v>
      </c>
      <c r="I422" t="s">
        <v>20</v>
      </c>
      <c r="J422">
        <v>4</v>
      </c>
      <c r="K422" t="s">
        <v>4</v>
      </c>
      <c r="L422" t="s">
        <v>18</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5">
      <c r="A423" t="s">
        <v>494</v>
      </c>
      <c r="B423" t="s">
        <v>11</v>
      </c>
      <c r="C423">
        <v>10</v>
      </c>
      <c r="D423">
        <v>111.7</v>
      </c>
      <c r="E423">
        <v>1117</v>
      </c>
      <c r="F423" s="1">
        <v>45676</v>
      </c>
      <c r="G423" s="1">
        <v>45677</v>
      </c>
      <c r="H423" t="s">
        <v>12</v>
      </c>
      <c r="I423" t="s">
        <v>55</v>
      </c>
      <c r="J423">
        <v>5</v>
      </c>
      <c r="K423" t="s">
        <v>4</v>
      </c>
      <c r="L423" t="s">
        <v>18</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5">
      <c r="A424" t="s">
        <v>495</v>
      </c>
      <c r="B424" t="s">
        <v>131</v>
      </c>
      <c r="C424">
        <v>7</v>
      </c>
      <c r="D424">
        <v>44.3</v>
      </c>
      <c r="E424">
        <v>310.09999999999997</v>
      </c>
      <c r="F424" s="1">
        <v>45676</v>
      </c>
      <c r="G424" s="1">
        <v>45679</v>
      </c>
      <c r="H424" t="s">
        <v>8</v>
      </c>
      <c r="I424" t="s">
        <v>36</v>
      </c>
      <c r="J424">
        <v>5</v>
      </c>
      <c r="K424" t="s">
        <v>4</v>
      </c>
      <c r="L424" t="s">
        <v>18</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5">
      <c r="A425" t="s">
        <v>496</v>
      </c>
      <c r="B425" t="s">
        <v>11</v>
      </c>
      <c r="C425">
        <v>8</v>
      </c>
      <c r="D425">
        <v>95.8</v>
      </c>
      <c r="E425">
        <v>766.4</v>
      </c>
      <c r="F425" s="1">
        <v>45676</v>
      </c>
      <c r="G425" s="1">
        <v>45682</v>
      </c>
      <c r="H425" t="s">
        <v>74</v>
      </c>
      <c r="I425" t="s">
        <v>3</v>
      </c>
      <c r="J425">
        <v>4</v>
      </c>
      <c r="K425" t="s">
        <v>4</v>
      </c>
      <c r="L425" t="s">
        <v>18</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5">
      <c r="A426" t="s">
        <v>497</v>
      </c>
      <c r="B426" t="s">
        <v>39</v>
      </c>
      <c r="C426">
        <v>7</v>
      </c>
      <c r="D426">
        <v>22.6</v>
      </c>
      <c r="E426">
        <v>158.20000000000002</v>
      </c>
      <c r="F426" s="1">
        <v>45676</v>
      </c>
      <c r="G426" s="1">
        <v>45679</v>
      </c>
      <c r="H426" t="s">
        <v>12</v>
      </c>
      <c r="I426" t="s">
        <v>36</v>
      </c>
      <c r="J426">
        <v>3</v>
      </c>
      <c r="K426" t="s">
        <v>4</v>
      </c>
      <c r="L426" t="s">
        <v>18</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5">
      <c r="A427" t="s">
        <v>498</v>
      </c>
      <c r="B427" t="s">
        <v>29</v>
      </c>
      <c r="C427">
        <v>8</v>
      </c>
      <c r="D427">
        <v>25.6</v>
      </c>
      <c r="E427">
        <v>204.8</v>
      </c>
      <c r="F427" s="1">
        <v>45676</v>
      </c>
      <c r="G427" s="1">
        <v>45678</v>
      </c>
      <c r="H427" t="s">
        <v>12</v>
      </c>
      <c r="I427" t="s">
        <v>55</v>
      </c>
      <c r="J427">
        <v>4</v>
      </c>
      <c r="K427" t="s">
        <v>4</v>
      </c>
      <c r="L427" t="s">
        <v>18</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5">
      <c r="A428" t="s">
        <v>499</v>
      </c>
      <c r="B428" t="s">
        <v>24</v>
      </c>
      <c r="C428">
        <v>16</v>
      </c>
      <c r="D428">
        <v>54.3</v>
      </c>
      <c r="E428">
        <v>868.8</v>
      </c>
      <c r="F428" s="1">
        <v>45676</v>
      </c>
      <c r="G428" s="1">
        <v>45679</v>
      </c>
      <c r="H428" t="s">
        <v>12</v>
      </c>
      <c r="I428" t="s">
        <v>55</v>
      </c>
      <c r="J428">
        <v>4</v>
      </c>
      <c r="K428" t="s">
        <v>4</v>
      </c>
      <c r="L428" t="s">
        <v>18</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5">
      <c r="A429" t="s">
        <v>500</v>
      </c>
      <c r="B429" t="s">
        <v>131</v>
      </c>
      <c r="C429">
        <v>13</v>
      </c>
      <c r="D429">
        <v>51.3</v>
      </c>
      <c r="E429">
        <v>666.9</v>
      </c>
      <c r="F429" s="1">
        <v>45676</v>
      </c>
      <c r="G429" s="1">
        <v>45678</v>
      </c>
      <c r="H429" t="s">
        <v>8</v>
      </c>
      <c r="I429" t="s">
        <v>3</v>
      </c>
      <c r="J429">
        <v>5</v>
      </c>
      <c r="K429" t="s">
        <v>4</v>
      </c>
      <c r="L429" t="s">
        <v>18</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5">
      <c r="A430" t="s">
        <v>501</v>
      </c>
      <c r="B430" t="s">
        <v>1</v>
      </c>
      <c r="C430">
        <v>8</v>
      </c>
      <c r="D430">
        <v>25.6</v>
      </c>
      <c r="E430">
        <v>204.8</v>
      </c>
      <c r="F430" s="1">
        <v>45676</v>
      </c>
      <c r="G430" s="1">
        <v>45677</v>
      </c>
      <c r="H430" t="s">
        <v>12</v>
      </c>
      <c r="I430" t="s">
        <v>20</v>
      </c>
      <c r="J430">
        <v>3</v>
      </c>
      <c r="K430" t="s">
        <v>4</v>
      </c>
      <c r="L430" t="s">
        <v>18</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5">
      <c r="A431" t="s">
        <v>502</v>
      </c>
      <c r="B431" t="s">
        <v>1</v>
      </c>
      <c r="C431">
        <v>2</v>
      </c>
      <c r="D431">
        <v>15.6</v>
      </c>
      <c r="E431">
        <v>31.2</v>
      </c>
      <c r="F431" s="1">
        <v>45676</v>
      </c>
      <c r="G431" s="1">
        <v>45677</v>
      </c>
      <c r="H431" t="s">
        <v>12</v>
      </c>
      <c r="I431" t="s">
        <v>25</v>
      </c>
      <c r="J431">
        <v>5</v>
      </c>
      <c r="K431" t="s">
        <v>4</v>
      </c>
      <c r="L431" t="s">
        <v>18</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5">
      <c r="A432" t="s">
        <v>503</v>
      </c>
      <c r="B432" t="s">
        <v>29</v>
      </c>
      <c r="C432">
        <v>3</v>
      </c>
      <c r="D432">
        <v>30.3</v>
      </c>
      <c r="E432">
        <v>90.9</v>
      </c>
      <c r="F432" s="1">
        <v>45676</v>
      </c>
      <c r="G432" s="1">
        <v>45680</v>
      </c>
      <c r="H432" t="s">
        <v>12</v>
      </c>
      <c r="I432" t="s">
        <v>3</v>
      </c>
      <c r="J432">
        <v>3</v>
      </c>
      <c r="K432" t="s">
        <v>4</v>
      </c>
      <c r="L432" t="s">
        <v>18</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5">
      <c r="A433" t="s">
        <v>504</v>
      </c>
      <c r="B433" t="s">
        <v>54</v>
      </c>
      <c r="C433">
        <v>2</v>
      </c>
      <c r="D433">
        <v>30.3</v>
      </c>
      <c r="E433">
        <v>60.6</v>
      </c>
      <c r="F433" s="1">
        <v>45676</v>
      </c>
      <c r="G433" s="1">
        <v>45681</v>
      </c>
      <c r="H433" t="s">
        <v>12</v>
      </c>
      <c r="I433" t="s">
        <v>3</v>
      </c>
      <c r="J433">
        <v>5</v>
      </c>
      <c r="K433" t="s">
        <v>4</v>
      </c>
      <c r="L433" t="s">
        <v>349</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5">
      <c r="A434" t="s">
        <v>505</v>
      </c>
      <c r="B434" t="s">
        <v>39</v>
      </c>
      <c r="C434">
        <v>3</v>
      </c>
      <c r="D434">
        <v>53</v>
      </c>
      <c r="E434">
        <v>159</v>
      </c>
      <c r="F434" s="1">
        <v>45676</v>
      </c>
      <c r="G434" s="1">
        <v>45683</v>
      </c>
      <c r="H434" t="s">
        <v>12</v>
      </c>
      <c r="I434" t="s">
        <v>25</v>
      </c>
      <c r="J434">
        <v>4</v>
      </c>
      <c r="K434" t="s">
        <v>4</v>
      </c>
      <c r="L434" t="s">
        <v>171</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5">
      <c r="A435" t="s">
        <v>506</v>
      </c>
      <c r="B435" t="s">
        <v>22</v>
      </c>
      <c r="C435">
        <v>18</v>
      </c>
      <c r="D435">
        <v>59.9</v>
      </c>
      <c r="E435">
        <v>1078.2</v>
      </c>
      <c r="F435" s="1">
        <v>45676</v>
      </c>
      <c r="G435" s="1">
        <v>45679</v>
      </c>
      <c r="H435" t="s">
        <v>8</v>
      </c>
      <c r="I435" t="s">
        <v>25</v>
      </c>
      <c r="J435">
        <v>2</v>
      </c>
      <c r="K435" t="s">
        <v>4</v>
      </c>
      <c r="L435" t="s">
        <v>173</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5">
      <c r="A436" t="s">
        <v>507</v>
      </c>
      <c r="B436" t="s">
        <v>31</v>
      </c>
      <c r="C436">
        <v>2</v>
      </c>
      <c r="D436">
        <v>45.7</v>
      </c>
      <c r="E436">
        <v>91.4</v>
      </c>
      <c r="F436" s="1">
        <v>45676</v>
      </c>
      <c r="G436" s="1">
        <v>45677</v>
      </c>
      <c r="H436" t="s">
        <v>12</v>
      </c>
      <c r="I436" t="s">
        <v>20</v>
      </c>
      <c r="J436">
        <v>5</v>
      </c>
      <c r="K436" t="s">
        <v>4</v>
      </c>
      <c r="L436" t="s">
        <v>40</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5">
      <c r="A437" t="s">
        <v>508</v>
      </c>
      <c r="B437" t="s">
        <v>29</v>
      </c>
      <c r="C437">
        <v>4</v>
      </c>
      <c r="D437">
        <v>46.1</v>
      </c>
      <c r="E437">
        <v>184.4</v>
      </c>
      <c r="F437" s="1">
        <v>45676</v>
      </c>
      <c r="G437" s="1">
        <v>45677</v>
      </c>
      <c r="H437" t="s">
        <v>8</v>
      </c>
      <c r="I437" t="s">
        <v>3</v>
      </c>
      <c r="J437">
        <v>4</v>
      </c>
      <c r="K437" t="s">
        <v>4</v>
      </c>
      <c r="L437" t="s">
        <v>40</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5">
      <c r="A438" t="s">
        <v>509</v>
      </c>
      <c r="B438" t="s">
        <v>29</v>
      </c>
      <c r="C438">
        <v>3</v>
      </c>
      <c r="D438">
        <v>17.5</v>
      </c>
      <c r="E438">
        <v>52.5</v>
      </c>
      <c r="F438" s="1">
        <v>45676</v>
      </c>
      <c r="G438" s="1">
        <v>45677</v>
      </c>
      <c r="H438" t="s">
        <v>12</v>
      </c>
      <c r="I438" t="s">
        <v>3</v>
      </c>
      <c r="J438">
        <v>5</v>
      </c>
      <c r="K438" t="s">
        <v>4</v>
      </c>
      <c r="L438" t="s">
        <v>47</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5">
      <c r="A439" t="s">
        <v>510</v>
      </c>
      <c r="B439" t="s">
        <v>39</v>
      </c>
      <c r="C439">
        <v>3</v>
      </c>
      <c r="D439">
        <v>36.5</v>
      </c>
      <c r="E439">
        <v>109.5</v>
      </c>
      <c r="F439" s="1">
        <v>45676</v>
      </c>
      <c r="G439" s="1">
        <v>45687</v>
      </c>
      <c r="H439" t="s">
        <v>8</v>
      </c>
      <c r="I439" t="s">
        <v>25</v>
      </c>
      <c r="J439">
        <v>4</v>
      </c>
      <c r="K439" t="s">
        <v>4</v>
      </c>
      <c r="L439" t="s">
        <v>47</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5">
      <c r="A440" t="s">
        <v>511</v>
      </c>
      <c r="B440" t="s">
        <v>29</v>
      </c>
      <c r="C440">
        <v>2</v>
      </c>
      <c r="D440">
        <v>47.5</v>
      </c>
      <c r="E440">
        <v>95</v>
      </c>
      <c r="F440" s="1">
        <v>45677</v>
      </c>
      <c r="G440" s="1">
        <v>45679</v>
      </c>
      <c r="H440" t="s">
        <v>12</v>
      </c>
      <c r="I440" t="s">
        <v>20</v>
      </c>
      <c r="J440">
        <v>4</v>
      </c>
      <c r="K440" t="s">
        <v>4</v>
      </c>
      <c r="L440" t="s">
        <v>47</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5">
      <c r="A441" t="s">
        <v>512</v>
      </c>
      <c r="B441" t="s">
        <v>24</v>
      </c>
      <c r="C441">
        <v>5</v>
      </c>
      <c r="D441">
        <v>45.6</v>
      </c>
      <c r="E441">
        <v>228</v>
      </c>
      <c r="F441" s="1">
        <v>45677</v>
      </c>
      <c r="G441" s="1">
        <v>45679</v>
      </c>
      <c r="H441" t="s">
        <v>12</v>
      </c>
      <c r="I441" t="s">
        <v>3</v>
      </c>
      <c r="J441">
        <v>5</v>
      </c>
      <c r="K441" t="s">
        <v>4</v>
      </c>
      <c r="L441" t="s">
        <v>47</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5">
      <c r="A442" t="s">
        <v>513</v>
      </c>
      <c r="B442" t="s">
        <v>31</v>
      </c>
      <c r="C442">
        <v>2</v>
      </c>
      <c r="D442">
        <v>50.5</v>
      </c>
      <c r="E442">
        <v>101</v>
      </c>
      <c r="F442" s="1">
        <v>45677</v>
      </c>
      <c r="G442" s="1">
        <v>45679</v>
      </c>
      <c r="H442" t="s">
        <v>8</v>
      </c>
      <c r="I442" t="s">
        <v>3</v>
      </c>
      <c r="J442">
        <v>3</v>
      </c>
      <c r="K442" t="s">
        <v>4</v>
      </c>
      <c r="L442" t="s">
        <v>88</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5">
      <c r="A443" t="s">
        <v>514</v>
      </c>
      <c r="B443" t="s">
        <v>11</v>
      </c>
      <c r="C443">
        <v>10</v>
      </c>
      <c r="D443">
        <v>99.8</v>
      </c>
      <c r="E443">
        <v>998</v>
      </c>
      <c r="F443" s="1">
        <v>45677</v>
      </c>
      <c r="G443" s="1">
        <v>45680</v>
      </c>
      <c r="H443" t="s">
        <v>12</v>
      </c>
      <c r="I443" t="s">
        <v>25</v>
      </c>
      <c r="J443">
        <v>3</v>
      </c>
      <c r="K443" t="s">
        <v>4</v>
      </c>
      <c r="L443" t="s">
        <v>88</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5">
      <c r="A444" t="s">
        <v>515</v>
      </c>
      <c r="B444" t="s">
        <v>29</v>
      </c>
      <c r="C444">
        <v>15</v>
      </c>
      <c r="D444">
        <v>19.2</v>
      </c>
      <c r="E444">
        <v>288</v>
      </c>
      <c r="F444" s="1">
        <v>45677</v>
      </c>
      <c r="G444" s="1">
        <v>45679</v>
      </c>
      <c r="H444" t="s">
        <v>74</v>
      </c>
      <c r="I444" t="s">
        <v>55</v>
      </c>
      <c r="J444">
        <v>3</v>
      </c>
      <c r="K444" t="s">
        <v>4</v>
      </c>
      <c r="L444" t="s">
        <v>186</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5">
      <c r="A445" t="s">
        <v>516</v>
      </c>
      <c r="B445" t="s">
        <v>120</v>
      </c>
      <c r="C445">
        <v>3</v>
      </c>
      <c r="D445">
        <v>22.6</v>
      </c>
      <c r="E445">
        <v>67.800000000000011</v>
      </c>
      <c r="F445" s="1">
        <v>45677</v>
      </c>
      <c r="G445" s="1">
        <v>45678</v>
      </c>
      <c r="H445" t="s">
        <v>8</v>
      </c>
      <c r="I445" t="s">
        <v>20</v>
      </c>
      <c r="J445">
        <v>4</v>
      </c>
      <c r="K445" t="s">
        <v>4</v>
      </c>
      <c r="L445" t="s">
        <v>62</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5">
      <c r="A446" t="s">
        <v>517</v>
      </c>
      <c r="B446" t="s">
        <v>7</v>
      </c>
      <c r="C446">
        <v>15</v>
      </c>
      <c r="D446">
        <v>126.9</v>
      </c>
      <c r="E446">
        <v>1903.5</v>
      </c>
      <c r="F446" s="1">
        <v>45677</v>
      </c>
      <c r="G446" s="1">
        <v>45679</v>
      </c>
      <c r="H446" t="s">
        <v>12</v>
      </c>
      <c r="I446" t="s">
        <v>3</v>
      </c>
      <c r="J446">
        <v>5</v>
      </c>
      <c r="K446" t="s">
        <v>4</v>
      </c>
      <c r="L446" t="s">
        <v>62</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5">
      <c r="A447" t="s">
        <v>518</v>
      </c>
      <c r="B447" t="s">
        <v>11</v>
      </c>
      <c r="C447">
        <v>2</v>
      </c>
      <c r="D447">
        <v>100.3</v>
      </c>
      <c r="E447">
        <v>200.6</v>
      </c>
      <c r="F447" s="1">
        <v>45677</v>
      </c>
      <c r="G447" s="1">
        <v>45678</v>
      </c>
      <c r="H447" t="s">
        <v>12</v>
      </c>
      <c r="I447" t="s">
        <v>3</v>
      </c>
      <c r="J447">
        <v>3</v>
      </c>
      <c r="K447" t="s">
        <v>4</v>
      </c>
      <c r="L447" t="s">
        <v>62</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5">
      <c r="A448" t="s">
        <v>519</v>
      </c>
      <c r="B448" t="s">
        <v>17</v>
      </c>
      <c r="C448">
        <v>18</v>
      </c>
      <c r="D448">
        <v>24.6</v>
      </c>
      <c r="E448">
        <v>442.8</v>
      </c>
      <c r="F448" s="1">
        <v>45677</v>
      </c>
      <c r="G448" s="1">
        <v>45678</v>
      </c>
      <c r="H448" t="s">
        <v>12</v>
      </c>
      <c r="I448" t="s">
        <v>55</v>
      </c>
      <c r="J448">
        <v>4</v>
      </c>
      <c r="K448" t="s">
        <v>4</v>
      </c>
      <c r="L448" t="s">
        <v>67</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5">
      <c r="A449" t="s">
        <v>520</v>
      </c>
      <c r="B449" t="s">
        <v>24</v>
      </c>
      <c r="C449">
        <v>2</v>
      </c>
      <c r="D449">
        <v>47.3</v>
      </c>
      <c r="E449">
        <v>94.6</v>
      </c>
      <c r="F449" s="1">
        <v>45677</v>
      </c>
      <c r="G449" s="1">
        <v>45678</v>
      </c>
      <c r="H449" t="s">
        <v>8</v>
      </c>
      <c r="I449" t="s">
        <v>20</v>
      </c>
      <c r="J449">
        <v>5</v>
      </c>
      <c r="K449" t="s">
        <v>4</v>
      </c>
      <c r="L449" t="s">
        <v>67</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5">
      <c r="A450" t="s">
        <v>521</v>
      </c>
      <c r="B450" t="s">
        <v>24</v>
      </c>
      <c r="C450">
        <v>7</v>
      </c>
      <c r="D450">
        <v>40.799999999999997</v>
      </c>
      <c r="E450">
        <v>285.59999999999997</v>
      </c>
      <c r="F450" s="1">
        <v>45677</v>
      </c>
      <c r="G450" s="1">
        <v>45680</v>
      </c>
      <c r="H450" t="s">
        <v>12</v>
      </c>
      <c r="I450" t="s">
        <v>25</v>
      </c>
      <c r="J450">
        <v>5</v>
      </c>
      <c r="K450" t="s">
        <v>4</v>
      </c>
      <c r="L450" t="s">
        <v>100</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5">
      <c r="A451" t="s">
        <v>522</v>
      </c>
      <c r="B451" t="s">
        <v>29</v>
      </c>
      <c r="C451">
        <v>8</v>
      </c>
      <c r="D451">
        <v>49.2</v>
      </c>
      <c r="E451">
        <v>393.6</v>
      </c>
      <c r="F451" s="1">
        <v>45677</v>
      </c>
      <c r="G451" s="1">
        <v>45679</v>
      </c>
      <c r="H451" t="s">
        <v>12</v>
      </c>
      <c r="I451" t="s">
        <v>3</v>
      </c>
      <c r="J451">
        <v>4</v>
      </c>
      <c r="K451" t="s">
        <v>4</v>
      </c>
      <c r="L451" t="s">
        <v>9</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5">
      <c r="A452" t="s">
        <v>523</v>
      </c>
      <c r="B452" t="s">
        <v>29</v>
      </c>
      <c r="C452">
        <v>1</v>
      </c>
      <c r="D452">
        <v>28.5</v>
      </c>
      <c r="E452">
        <v>28.5</v>
      </c>
      <c r="F452" s="1">
        <v>45677</v>
      </c>
      <c r="G452" s="1">
        <v>45679</v>
      </c>
      <c r="H452" t="s">
        <v>2</v>
      </c>
      <c r="I452" t="s">
        <v>25</v>
      </c>
      <c r="J452">
        <v>3</v>
      </c>
      <c r="K452" t="s">
        <v>4</v>
      </c>
      <c r="L452" t="s">
        <v>18</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5">
      <c r="A453" t="s">
        <v>524</v>
      </c>
      <c r="B453" t="s">
        <v>131</v>
      </c>
      <c r="C453">
        <v>2</v>
      </c>
      <c r="D453">
        <v>36.799999999999997</v>
      </c>
      <c r="E453">
        <v>73.599999999999994</v>
      </c>
      <c r="F453" s="1">
        <v>45677</v>
      </c>
      <c r="G453" s="1">
        <v>45683</v>
      </c>
      <c r="H453" t="s">
        <v>12</v>
      </c>
      <c r="I453" t="s">
        <v>3</v>
      </c>
      <c r="J453">
        <v>5</v>
      </c>
      <c r="K453" t="s">
        <v>4</v>
      </c>
      <c r="L453" t="s">
        <v>18</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5">
      <c r="A454" t="s">
        <v>525</v>
      </c>
      <c r="B454" t="s">
        <v>27</v>
      </c>
      <c r="C454">
        <v>3</v>
      </c>
      <c r="D454">
        <v>33.5</v>
      </c>
      <c r="E454">
        <v>100.5</v>
      </c>
      <c r="F454" s="1">
        <v>45677</v>
      </c>
      <c r="G454" s="1">
        <v>45678</v>
      </c>
      <c r="H454" t="s">
        <v>12</v>
      </c>
      <c r="I454" t="s">
        <v>3</v>
      </c>
      <c r="J454">
        <v>3</v>
      </c>
      <c r="K454" t="s">
        <v>4</v>
      </c>
      <c r="L454" t="s">
        <v>18</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5">
      <c r="A455" t="s">
        <v>526</v>
      </c>
      <c r="B455" t="s">
        <v>24</v>
      </c>
      <c r="C455">
        <v>6</v>
      </c>
      <c r="D455">
        <v>62.5</v>
      </c>
      <c r="E455">
        <v>375</v>
      </c>
      <c r="F455" s="1">
        <v>45677</v>
      </c>
      <c r="G455" s="1">
        <v>45679</v>
      </c>
      <c r="H455" t="s">
        <v>12</v>
      </c>
      <c r="I455" t="s">
        <v>3</v>
      </c>
      <c r="J455">
        <v>4</v>
      </c>
      <c r="K455" t="s">
        <v>4</v>
      </c>
      <c r="L455" t="s">
        <v>18</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5">
      <c r="A456" t="s">
        <v>527</v>
      </c>
      <c r="B456" t="s">
        <v>29</v>
      </c>
      <c r="C456">
        <v>40</v>
      </c>
      <c r="D456">
        <v>47.9</v>
      </c>
      <c r="E456">
        <v>1916</v>
      </c>
      <c r="F456" s="1">
        <v>45677</v>
      </c>
      <c r="G456" s="1">
        <v>45678</v>
      </c>
      <c r="H456" t="s">
        <v>12</v>
      </c>
      <c r="I456" t="s">
        <v>36</v>
      </c>
      <c r="J456">
        <v>4</v>
      </c>
      <c r="K456" t="s">
        <v>4</v>
      </c>
      <c r="L456" t="s">
        <v>18</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5">
      <c r="A457" t="s">
        <v>528</v>
      </c>
      <c r="B457" t="s">
        <v>24</v>
      </c>
      <c r="C457">
        <v>6</v>
      </c>
      <c r="D457">
        <v>92.9</v>
      </c>
      <c r="E457">
        <v>557.40000000000009</v>
      </c>
      <c r="F457" s="1">
        <v>45677</v>
      </c>
      <c r="G457" s="1">
        <v>45688</v>
      </c>
      <c r="H457" t="s">
        <v>12</v>
      </c>
      <c r="I457" t="s">
        <v>3</v>
      </c>
      <c r="J457">
        <v>2</v>
      </c>
      <c r="K457" t="s">
        <v>4</v>
      </c>
      <c r="L457" t="s">
        <v>18</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5">
      <c r="A458" t="s">
        <v>529</v>
      </c>
      <c r="B458" t="s">
        <v>54</v>
      </c>
      <c r="C458">
        <v>3</v>
      </c>
      <c r="D458">
        <v>44.1</v>
      </c>
      <c r="E458">
        <v>132.30000000000001</v>
      </c>
      <c r="F458" s="1">
        <v>45677</v>
      </c>
      <c r="G458" s="1">
        <v>45677</v>
      </c>
      <c r="H458" t="s">
        <v>12</v>
      </c>
      <c r="I458" t="s">
        <v>20</v>
      </c>
      <c r="J458">
        <v>3</v>
      </c>
      <c r="K458" t="s">
        <v>4</v>
      </c>
      <c r="L458" t="s">
        <v>530</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5">
      <c r="A459" t="s">
        <v>531</v>
      </c>
      <c r="B459" t="s">
        <v>1</v>
      </c>
      <c r="C459">
        <v>1</v>
      </c>
      <c r="D459">
        <v>11.4</v>
      </c>
      <c r="E459">
        <v>11.4</v>
      </c>
      <c r="F459" s="1">
        <v>45678</v>
      </c>
      <c r="G459" s="1">
        <v>45680</v>
      </c>
      <c r="H459" t="s">
        <v>12</v>
      </c>
      <c r="I459" t="s">
        <v>25</v>
      </c>
      <c r="J459">
        <v>4</v>
      </c>
      <c r="K459" t="s">
        <v>4</v>
      </c>
      <c r="L459" t="s">
        <v>37</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5">
      <c r="A460" t="s">
        <v>532</v>
      </c>
      <c r="B460" t="s">
        <v>24</v>
      </c>
      <c r="C460">
        <v>1</v>
      </c>
      <c r="D460">
        <v>83.7</v>
      </c>
      <c r="E460">
        <v>83.7</v>
      </c>
      <c r="F460" s="1">
        <v>45678</v>
      </c>
      <c r="G460" s="1">
        <v>45680</v>
      </c>
      <c r="H460" t="s">
        <v>12</v>
      </c>
      <c r="I460" t="s">
        <v>3</v>
      </c>
      <c r="J460">
        <v>5</v>
      </c>
      <c r="K460" t="s">
        <v>4</v>
      </c>
      <c r="L460" t="s">
        <v>40</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5">
      <c r="A461" t="s">
        <v>533</v>
      </c>
      <c r="B461" t="s">
        <v>39</v>
      </c>
      <c r="C461">
        <v>2</v>
      </c>
      <c r="D461">
        <v>23.2</v>
      </c>
      <c r="E461">
        <v>46.4</v>
      </c>
      <c r="F461" s="1">
        <v>45678</v>
      </c>
      <c r="G461" s="1">
        <v>45679</v>
      </c>
      <c r="H461" t="s">
        <v>8</v>
      </c>
      <c r="I461" t="s">
        <v>25</v>
      </c>
      <c r="J461">
        <v>4</v>
      </c>
      <c r="K461" t="s">
        <v>4</v>
      </c>
      <c r="L461" t="s">
        <v>47</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5">
      <c r="A462" t="s">
        <v>534</v>
      </c>
      <c r="B462" t="s">
        <v>11</v>
      </c>
      <c r="C462">
        <v>1</v>
      </c>
      <c r="D462">
        <v>162.1</v>
      </c>
      <c r="E462">
        <v>162.1</v>
      </c>
      <c r="F462" s="1">
        <v>45678</v>
      </c>
      <c r="G462" s="1">
        <v>45681</v>
      </c>
      <c r="H462" t="s">
        <v>12</v>
      </c>
      <c r="I462" t="s">
        <v>3</v>
      </c>
      <c r="J462">
        <v>5</v>
      </c>
      <c r="K462" t="s">
        <v>4</v>
      </c>
      <c r="L462" t="s">
        <v>57</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5">
      <c r="A463" t="s">
        <v>535</v>
      </c>
      <c r="B463" t="s">
        <v>24</v>
      </c>
      <c r="C463">
        <v>4</v>
      </c>
      <c r="D463">
        <v>49.2</v>
      </c>
      <c r="E463">
        <v>196.8</v>
      </c>
      <c r="F463" s="1">
        <v>45678</v>
      </c>
      <c r="G463" s="1">
        <v>45682</v>
      </c>
      <c r="H463" t="s">
        <v>8</v>
      </c>
      <c r="I463" t="s">
        <v>20</v>
      </c>
      <c r="J463">
        <v>4</v>
      </c>
      <c r="K463" t="s">
        <v>4</v>
      </c>
      <c r="L463" t="s">
        <v>57</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5">
      <c r="A464" t="s">
        <v>536</v>
      </c>
      <c r="B464" t="s">
        <v>7</v>
      </c>
      <c r="C464">
        <v>2</v>
      </c>
      <c r="D464">
        <v>61</v>
      </c>
      <c r="E464">
        <v>122</v>
      </c>
      <c r="F464" s="1">
        <v>45678</v>
      </c>
      <c r="G464" s="1">
        <v>45679</v>
      </c>
      <c r="H464" t="s">
        <v>8</v>
      </c>
      <c r="I464" t="s">
        <v>36</v>
      </c>
      <c r="J464">
        <v>4</v>
      </c>
      <c r="K464" t="s">
        <v>4</v>
      </c>
      <c r="L464" t="s">
        <v>59</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5">
      <c r="A465" t="s">
        <v>537</v>
      </c>
      <c r="B465" t="s">
        <v>11</v>
      </c>
      <c r="C465">
        <v>10</v>
      </c>
      <c r="D465">
        <v>53.1</v>
      </c>
      <c r="E465">
        <v>531</v>
      </c>
      <c r="F465" s="1">
        <v>45678</v>
      </c>
      <c r="G465" s="1">
        <v>45680</v>
      </c>
      <c r="H465" t="s">
        <v>8</v>
      </c>
      <c r="I465" t="s">
        <v>3</v>
      </c>
      <c r="J465">
        <v>4</v>
      </c>
      <c r="K465" t="s">
        <v>4</v>
      </c>
      <c r="L465" t="s">
        <v>62</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5">
      <c r="A466" t="s">
        <v>538</v>
      </c>
      <c r="B466" t="s">
        <v>17</v>
      </c>
      <c r="C466">
        <v>2</v>
      </c>
      <c r="D466">
        <v>22.4</v>
      </c>
      <c r="E466">
        <v>44.8</v>
      </c>
      <c r="F466" s="1">
        <v>45678</v>
      </c>
      <c r="G466" s="1">
        <v>45680</v>
      </c>
      <c r="H466" t="s">
        <v>2</v>
      </c>
      <c r="I466" t="s">
        <v>20</v>
      </c>
      <c r="J466">
        <v>5</v>
      </c>
      <c r="K466" t="s">
        <v>4</v>
      </c>
      <c r="L466" t="s">
        <v>67</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5">
      <c r="A467" t="s">
        <v>539</v>
      </c>
      <c r="B467" t="s">
        <v>7</v>
      </c>
      <c r="C467">
        <v>5</v>
      </c>
      <c r="D467">
        <v>75.3</v>
      </c>
      <c r="E467">
        <v>376.5</v>
      </c>
      <c r="F467" s="1">
        <v>45678</v>
      </c>
      <c r="G467" s="1">
        <v>45679</v>
      </c>
      <c r="H467" t="s">
        <v>8</v>
      </c>
      <c r="I467" t="s">
        <v>3</v>
      </c>
      <c r="J467">
        <v>4</v>
      </c>
      <c r="K467" t="s">
        <v>4</v>
      </c>
      <c r="L467" t="s">
        <v>100</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5">
      <c r="A468" t="s">
        <v>540</v>
      </c>
      <c r="B468" t="s">
        <v>24</v>
      </c>
      <c r="C468">
        <v>1</v>
      </c>
      <c r="D468">
        <v>48.5</v>
      </c>
      <c r="E468">
        <v>48.5</v>
      </c>
      <c r="F468" s="1">
        <v>45678</v>
      </c>
      <c r="G468" s="1">
        <v>45679</v>
      </c>
      <c r="H468" t="s">
        <v>12</v>
      </c>
      <c r="I468" t="s">
        <v>3</v>
      </c>
      <c r="J468">
        <v>3</v>
      </c>
      <c r="K468" t="s">
        <v>4</v>
      </c>
      <c r="L468" t="s">
        <v>100</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5">
      <c r="A469" t="s">
        <v>541</v>
      </c>
      <c r="B469" t="s">
        <v>24</v>
      </c>
      <c r="C469">
        <v>1</v>
      </c>
      <c r="D469">
        <v>42.6</v>
      </c>
      <c r="E469">
        <v>42.6</v>
      </c>
      <c r="F469" s="1">
        <v>45678</v>
      </c>
      <c r="G469" s="1">
        <v>45682</v>
      </c>
      <c r="H469" t="s">
        <v>12</v>
      </c>
      <c r="I469" t="s">
        <v>36</v>
      </c>
      <c r="J469">
        <v>4</v>
      </c>
      <c r="K469" t="s">
        <v>4</v>
      </c>
      <c r="L469" t="s">
        <v>9</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5">
      <c r="A470" t="s">
        <v>542</v>
      </c>
      <c r="B470" t="s">
        <v>22</v>
      </c>
      <c r="C470">
        <v>5</v>
      </c>
      <c r="D470">
        <v>49</v>
      </c>
      <c r="E470">
        <v>245</v>
      </c>
      <c r="F470" s="1">
        <v>45678</v>
      </c>
      <c r="G470" s="1">
        <v>45679</v>
      </c>
      <c r="H470" t="s">
        <v>8</v>
      </c>
      <c r="I470" t="s">
        <v>3</v>
      </c>
      <c r="J470">
        <v>4</v>
      </c>
      <c r="K470" t="s">
        <v>4</v>
      </c>
      <c r="L470" t="s">
        <v>132</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5">
      <c r="A471" t="s">
        <v>543</v>
      </c>
      <c r="B471" t="s">
        <v>29</v>
      </c>
      <c r="C471">
        <v>3</v>
      </c>
      <c r="D471">
        <v>31.3</v>
      </c>
      <c r="E471">
        <v>93.9</v>
      </c>
      <c r="F471" s="1">
        <v>45678</v>
      </c>
      <c r="G471" s="1">
        <v>45679</v>
      </c>
      <c r="H471" t="s">
        <v>8</v>
      </c>
      <c r="I471" t="s">
        <v>25</v>
      </c>
      <c r="J471">
        <v>3</v>
      </c>
      <c r="K471" t="s">
        <v>4</v>
      </c>
      <c r="L471" t="s">
        <v>18</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5">
      <c r="A472" t="s">
        <v>544</v>
      </c>
      <c r="B472" t="s">
        <v>11</v>
      </c>
      <c r="C472">
        <v>2</v>
      </c>
      <c r="D472">
        <v>85.4</v>
      </c>
      <c r="E472">
        <v>170.8</v>
      </c>
      <c r="F472" s="1">
        <v>45678</v>
      </c>
      <c r="G472" s="1">
        <v>45679</v>
      </c>
      <c r="H472" t="s">
        <v>12</v>
      </c>
      <c r="I472" t="s">
        <v>25</v>
      </c>
      <c r="J472">
        <v>4</v>
      </c>
      <c r="K472" t="s">
        <v>4</v>
      </c>
      <c r="L472" t="s">
        <v>18</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5">
      <c r="A473" t="s">
        <v>545</v>
      </c>
      <c r="B473" t="s">
        <v>29</v>
      </c>
      <c r="C473">
        <v>4</v>
      </c>
      <c r="D473">
        <v>40</v>
      </c>
      <c r="E473">
        <v>160</v>
      </c>
      <c r="F473" s="1">
        <v>45678</v>
      </c>
      <c r="G473" s="1">
        <v>45679</v>
      </c>
      <c r="H473" t="s">
        <v>74</v>
      </c>
      <c r="I473" t="s">
        <v>3</v>
      </c>
      <c r="J473">
        <v>5</v>
      </c>
      <c r="K473" t="s">
        <v>4</v>
      </c>
      <c r="L473" t="s">
        <v>18</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5">
      <c r="A474" t="s">
        <v>546</v>
      </c>
      <c r="B474" t="s">
        <v>22</v>
      </c>
      <c r="C474">
        <v>2</v>
      </c>
      <c r="D474">
        <v>38.5</v>
      </c>
      <c r="E474">
        <v>77</v>
      </c>
      <c r="F474" s="1">
        <v>45678</v>
      </c>
      <c r="G474" s="1">
        <v>45681</v>
      </c>
      <c r="H474" t="s">
        <v>8</v>
      </c>
      <c r="I474" t="s">
        <v>20</v>
      </c>
      <c r="J474">
        <v>5</v>
      </c>
      <c r="K474" t="s">
        <v>4</v>
      </c>
      <c r="L474" t="s">
        <v>18</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5">
      <c r="A475" t="s">
        <v>547</v>
      </c>
      <c r="B475" t="s">
        <v>11</v>
      </c>
      <c r="C475">
        <v>2</v>
      </c>
      <c r="D475">
        <v>57.8</v>
      </c>
      <c r="E475">
        <v>115.6</v>
      </c>
      <c r="F475" s="1">
        <v>45678</v>
      </c>
      <c r="G475" s="1">
        <v>45679</v>
      </c>
      <c r="H475" t="s">
        <v>2</v>
      </c>
      <c r="I475" t="s">
        <v>3</v>
      </c>
      <c r="J475">
        <v>4</v>
      </c>
      <c r="K475" t="s">
        <v>4</v>
      </c>
      <c r="L475" t="s">
        <v>18</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5">
      <c r="A476" t="s">
        <v>548</v>
      </c>
      <c r="B476" t="s">
        <v>29</v>
      </c>
      <c r="C476">
        <v>1</v>
      </c>
      <c r="D476">
        <v>19.2</v>
      </c>
      <c r="E476">
        <v>19.2</v>
      </c>
      <c r="F476" s="1">
        <v>45678</v>
      </c>
      <c r="G476" s="1">
        <v>45679</v>
      </c>
      <c r="H476" t="s">
        <v>12</v>
      </c>
      <c r="I476" t="s">
        <v>3</v>
      </c>
      <c r="J476">
        <v>2</v>
      </c>
      <c r="K476" t="s">
        <v>4</v>
      </c>
      <c r="L476" t="s">
        <v>18</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5">
      <c r="A477" t="s">
        <v>549</v>
      </c>
      <c r="B477" t="s">
        <v>24</v>
      </c>
      <c r="C477">
        <v>6</v>
      </c>
      <c r="D477">
        <v>114.8</v>
      </c>
      <c r="E477">
        <v>688.8</v>
      </c>
      <c r="F477" s="1">
        <v>45678</v>
      </c>
      <c r="G477" s="1">
        <v>45681</v>
      </c>
      <c r="H477" t="s">
        <v>8</v>
      </c>
      <c r="I477" t="s">
        <v>20</v>
      </c>
      <c r="J477">
        <v>3</v>
      </c>
      <c r="K477" t="s">
        <v>4</v>
      </c>
      <c r="L477" t="s">
        <v>18</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5">
      <c r="A478" t="s">
        <v>550</v>
      </c>
      <c r="B478" t="s">
        <v>39</v>
      </c>
      <c r="C478">
        <v>7</v>
      </c>
      <c r="D478">
        <v>48.4</v>
      </c>
      <c r="E478">
        <v>338.8</v>
      </c>
      <c r="F478" s="1">
        <v>45678</v>
      </c>
      <c r="G478" s="1">
        <v>45681</v>
      </c>
      <c r="H478" t="s">
        <v>12</v>
      </c>
      <c r="I478" t="s">
        <v>36</v>
      </c>
      <c r="J478">
        <v>3</v>
      </c>
      <c r="K478" t="s">
        <v>4</v>
      </c>
      <c r="L478" t="s">
        <v>18</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5">
      <c r="A479" t="s">
        <v>551</v>
      </c>
      <c r="B479" t="s">
        <v>31</v>
      </c>
      <c r="C479">
        <v>5</v>
      </c>
      <c r="D479">
        <v>73.2</v>
      </c>
      <c r="E479">
        <v>366</v>
      </c>
      <c r="F479" s="1">
        <v>45678</v>
      </c>
      <c r="G479" s="1">
        <v>45679</v>
      </c>
      <c r="H479" t="s">
        <v>12</v>
      </c>
      <c r="I479" t="s">
        <v>20</v>
      </c>
      <c r="J479">
        <v>2</v>
      </c>
      <c r="K479" t="s">
        <v>4</v>
      </c>
      <c r="L479" t="s">
        <v>18</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5">
      <c r="A480" t="s">
        <v>552</v>
      </c>
      <c r="B480" t="s">
        <v>108</v>
      </c>
      <c r="C480">
        <v>2</v>
      </c>
      <c r="D480">
        <v>48.6</v>
      </c>
      <c r="E480">
        <v>97.2</v>
      </c>
      <c r="F480" s="1">
        <v>45678</v>
      </c>
      <c r="G480" s="1">
        <v>45682</v>
      </c>
      <c r="H480" t="s">
        <v>12</v>
      </c>
      <c r="I480" t="s">
        <v>36</v>
      </c>
      <c r="J480">
        <v>4</v>
      </c>
      <c r="K480" t="s">
        <v>4</v>
      </c>
      <c r="L480" t="s">
        <v>18</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5">
      <c r="A481" t="s">
        <v>553</v>
      </c>
      <c r="B481" t="s">
        <v>1</v>
      </c>
      <c r="C481">
        <v>6</v>
      </c>
      <c r="D481">
        <v>48.7</v>
      </c>
      <c r="E481">
        <v>292.20000000000005</v>
      </c>
      <c r="F481" s="1">
        <v>45678</v>
      </c>
      <c r="G481" s="1">
        <v>45679</v>
      </c>
      <c r="H481" t="s">
        <v>8</v>
      </c>
      <c r="I481" t="s">
        <v>3</v>
      </c>
      <c r="J481">
        <v>4</v>
      </c>
      <c r="K481" t="s">
        <v>4</v>
      </c>
      <c r="L481" t="s">
        <v>18</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5">
      <c r="A482" t="s">
        <v>554</v>
      </c>
      <c r="B482" t="s">
        <v>17</v>
      </c>
      <c r="C482">
        <v>2</v>
      </c>
      <c r="D482">
        <v>32.200000000000003</v>
      </c>
      <c r="E482">
        <v>64.400000000000006</v>
      </c>
      <c r="F482" s="1">
        <v>45678</v>
      </c>
      <c r="G482" s="1">
        <v>45681</v>
      </c>
      <c r="H482" t="s">
        <v>8</v>
      </c>
      <c r="I482" t="s">
        <v>25</v>
      </c>
      <c r="J482">
        <v>5</v>
      </c>
      <c r="K482" t="s">
        <v>4</v>
      </c>
      <c r="L482" t="s">
        <v>18</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5">
      <c r="A483" t="s">
        <v>555</v>
      </c>
      <c r="B483" t="s">
        <v>108</v>
      </c>
      <c r="C483">
        <v>8</v>
      </c>
      <c r="D483">
        <v>25.8</v>
      </c>
      <c r="E483">
        <v>206.4</v>
      </c>
      <c r="F483" s="1">
        <v>45678</v>
      </c>
      <c r="G483" s="1">
        <v>45679</v>
      </c>
      <c r="H483" t="s">
        <v>8</v>
      </c>
      <c r="I483" t="s">
        <v>3</v>
      </c>
      <c r="J483">
        <v>4</v>
      </c>
      <c r="K483" t="s">
        <v>4</v>
      </c>
      <c r="L483" t="s">
        <v>349</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5">
      <c r="A484" t="s">
        <v>556</v>
      </c>
      <c r="B484" t="s">
        <v>24</v>
      </c>
      <c r="C484">
        <v>2</v>
      </c>
      <c r="D484">
        <v>94.8</v>
      </c>
      <c r="E484">
        <v>189.6</v>
      </c>
      <c r="F484" s="1">
        <v>45679</v>
      </c>
      <c r="G484" s="1">
        <v>45682</v>
      </c>
      <c r="H484" t="s">
        <v>12</v>
      </c>
      <c r="I484" t="s">
        <v>20</v>
      </c>
      <c r="J484">
        <v>3</v>
      </c>
      <c r="K484" t="s">
        <v>4</v>
      </c>
      <c r="L484" t="s">
        <v>173</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5">
      <c r="A485" t="s">
        <v>557</v>
      </c>
      <c r="B485" t="s">
        <v>108</v>
      </c>
      <c r="C485">
        <v>25</v>
      </c>
      <c r="D485">
        <v>56.8</v>
      </c>
      <c r="E485">
        <v>1420</v>
      </c>
      <c r="F485" s="1">
        <v>45679</v>
      </c>
      <c r="G485" s="1">
        <v>45682</v>
      </c>
      <c r="H485" t="s">
        <v>8</v>
      </c>
      <c r="I485" t="s">
        <v>3</v>
      </c>
      <c r="J485">
        <v>4</v>
      </c>
      <c r="K485" t="s">
        <v>4</v>
      </c>
      <c r="L485" t="s">
        <v>173</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5">
      <c r="A486" t="s">
        <v>558</v>
      </c>
      <c r="B486" t="s">
        <v>29</v>
      </c>
      <c r="C486">
        <v>16</v>
      </c>
      <c r="D486">
        <v>18.3</v>
      </c>
      <c r="E486">
        <v>292.8</v>
      </c>
      <c r="F486" s="1">
        <v>45679</v>
      </c>
      <c r="G486" s="1">
        <v>45686</v>
      </c>
      <c r="H486" t="s">
        <v>12</v>
      </c>
      <c r="I486" t="s">
        <v>25</v>
      </c>
      <c r="J486">
        <v>5</v>
      </c>
      <c r="K486" t="s">
        <v>4</v>
      </c>
      <c r="L486" t="s">
        <v>143</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5">
      <c r="A487" t="s">
        <v>559</v>
      </c>
      <c r="B487" t="s">
        <v>1</v>
      </c>
      <c r="C487">
        <v>3</v>
      </c>
      <c r="D487">
        <v>16.8</v>
      </c>
      <c r="E487">
        <v>50.400000000000006</v>
      </c>
      <c r="F487" s="1">
        <v>45679</v>
      </c>
      <c r="G487" s="1">
        <v>45684</v>
      </c>
      <c r="H487" t="s">
        <v>12</v>
      </c>
      <c r="I487" t="s">
        <v>25</v>
      </c>
      <c r="J487">
        <v>5</v>
      </c>
      <c r="K487" t="s">
        <v>4</v>
      </c>
      <c r="L487" t="s">
        <v>47</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5">
      <c r="A488" t="s">
        <v>560</v>
      </c>
      <c r="B488" t="s">
        <v>22</v>
      </c>
      <c r="C488">
        <v>11</v>
      </c>
      <c r="D488">
        <v>35.799999999999997</v>
      </c>
      <c r="E488">
        <v>393.79999999999995</v>
      </c>
      <c r="F488" s="1">
        <v>45679</v>
      </c>
      <c r="G488" s="1">
        <v>45680</v>
      </c>
      <c r="H488" t="s">
        <v>8</v>
      </c>
      <c r="I488" t="s">
        <v>20</v>
      </c>
      <c r="J488">
        <v>4</v>
      </c>
      <c r="K488" t="s">
        <v>4</v>
      </c>
      <c r="L488" t="s">
        <v>88</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5">
      <c r="A489" t="s">
        <v>561</v>
      </c>
      <c r="B489" t="s">
        <v>131</v>
      </c>
      <c r="C489">
        <v>1</v>
      </c>
      <c r="D489">
        <v>64.900000000000006</v>
      </c>
      <c r="E489">
        <v>64.900000000000006</v>
      </c>
      <c r="F489" s="1">
        <v>45679</v>
      </c>
      <c r="G489" s="1">
        <v>45680</v>
      </c>
      <c r="H489" t="s">
        <v>8</v>
      </c>
      <c r="I489" t="s">
        <v>3</v>
      </c>
      <c r="J489">
        <v>3</v>
      </c>
      <c r="K489" t="s">
        <v>4</v>
      </c>
      <c r="L489" t="s">
        <v>88</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5">
      <c r="A490" t="s">
        <v>562</v>
      </c>
      <c r="B490" t="s">
        <v>131</v>
      </c>
      <c r="C490">
        <v>1</v>
      </c>
      <c r="D490">
        <v>28.5</v>
      </c>
      <c r="E490">
        <v>28.5</v>
      </c>
      <c r="F490" s="1">
        <v>45679</v>
      </c>
      <c r="G490" s="1">
        <v>45681</v>
      </c>
      <c r="H490" t="s">
        <v>2</v>
      </c>
      <c r="I490" t="s">
        <v>20</v>
      </c>
      <c r="J490">
        <v>4</v>
      </c>
      <c r="K490" t="s">
        <v>4</v>
      </c>
      <c r="L490" t="s">
        <v>57</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5">
      <c r="A491" t="s">
        <v>563</v>
      </c>
      <c r="B491" t="s">
        <v>131</v>
      </c>
      <c r="C491">
        <v>2</v>
      </c>
      <c r="D491">
        <v>103.5</v>
      </c>
      <c r="E491">
        <v>207</v>
      </c>
      <c r="F491" s="1">
        <v>45679</v>
      </c>
      <c r="G491" s="1">
        <v>45681</v>
      </c>
      <c r="H491" t="s">
        <v>12</v>
      </c>
      <c r="I491" t="s">
        <v>20</v>
      </c>
      <c r="J491">
        <v>4</v>
      </c>
      <c r="K491" t="s">
        <v>4</v>
      </c>
      <c r="L491" t="s">
        <v>59</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5">
      <c r="A492" t="s">
        <v>564</v>
      </c>
      <c r="B492" t="s">
        <v>17</v>
      </c>
      <c r="C492">
        <v>2</v>
      </c>
      <c r="D492">
        <v>41.2</v>
      </c>
      <c r="E492">
        <v>82.4</v>
      </c>
      <c r="F492" s="1">
        <v>45679</v>
      </c>
      <c r="G492" s="1">
        <v>45680</v>
      </c>
      <c r="H492" t="s">
        <v>12</v>
      </c>
      <c r="I492" t="s">
        <v>20</v>
      </c>
      <c r="J492">
        <v>4</v>
      </c>
      <c r="K492" t="s">
        <v>4</v>
      </c>
      <c r="L492" t="s">
        <v>59</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5">
      <c r="A493" t="s">
        <v>565</v>
      </c>
      <c r="B493" t="s">
        <v>31</v>
      </c>
      <c r="C493">
        <v>1</v>
      </c>
      <c r="D493">
        <v>37.799999999999997</v>
      </c>
      <c r="E493">
        <v>37.799999999999997</v>
      </c>
      <c r="F493" s="1">
        <v>45679</v>
      </c>
      <c r="G493" s="1">
        <v>45681</v>
      </c>
      <c r="H493" t="s">
        <v>12</v>
      </c>
      <c r="I493" t="s">
        <v>36</v>
      </c>
      <c r="J493">
        <v>1</v>
      </c>
      <c r="K493" t="s">
        <v>4</v>
      </c>
      <c r="L493" t="s">
        <v>62</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5">
      <c r="A494" t="s">
        <v>566</v>
      </c>
      <c r="B494" t="s">
        <v>29</v>
      </c>
      <c r="C494">
        <v>2</v>
      </c>
      <c r="D494">
        <v>42.6</v>
      </c>
      <c r="E494">
        <v>85.2</v>
      </c>
      <c r="F494" s="1">
        <v>45679</v>
      </c>
      <c r="G494" s="1">
        <v>45681</v>
      </c>
      <c r="H494" t="s">
        <v>12</v>
      </c>
      <c r="I494" t="s">
        <v>55</v>
      </c>
      <c r="J494">
        <v>4</v>
      </c>
      <c r="K494" t="s">
        <v>4</v>
      </c>
      <c r="L494" t="s">
        <v>62</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5">
      <c r="A495" t="s">
        <v>567</v>
      </c>
      <c r="B495" t="s">
        <v>29</v>
      </c>
      <c r="C495">
        <v>10</v>
      </c>
      <c r="D495">
        <v>15.2</v>
      </c>
      <c r="E495">
        <v>152</v>
      </c>
      <c r="F495" s="1">
        <v>45679</v>
      </c>
      <c r="G495" s="1">
        <v>45681</v>
      </c>
      <c r="H495" t="s">
        <v>12</v>
      </c>
      <c r="I495" t="s">
        <v>25</v>
      </c>
      <c r="J495">
        <v>4</v>
      </c>
      <c r="K495" t="s">
        <v>4</v>
      </c>
      <c r="L495" t="s">
        <v>62</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5">
      <c r="A496" t="s">
        <v>568</v>
      </c>
      <c r="B496" t="s">
        <v>27</v>
      </c>
      <c r="C496">
        <v>4</v>
      </c>
      <c r="D496">
        <v>83.4</v>
      </c>
      <c r="E496">
        <v>333.6</v>
      </c>
      <c r="F496" s="1">
        <v>45679</v>
      </c>
      <c r="G496" s="1">
        <v>45680</v>
      </c>
      <c r="H496" t="s">
        <v>12</v>
      </c>
      <c r="I496" t="s">
        <v>25</v>
      </c>
      <c r="J496">
        <v>3</v>
      </c>
      <c r="K496" t="s">
        <v>4</v>
      </c>
      <c r="L496" t="s">
        <v>93</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5">
      <c r="A497" t="s">
        <v>569</v>
      </c>
      <c r="B497" t="s">
        <v>156</v>
      </c>
      <c r="C497">
        <v>2</v>
      </c>
      <c r="D497">
        <v>27.7</v>
      </c>
      <c r="E497">
        <v>55.4</v>
      </c>
      <c r="F497" s="1">
        <v>45679</v>
      </c>
      <c r="G497" s="1">
        <v>45680</v>
      </c>
      <c r="H497" t="s">
        <v>12</v>
      </c>
      <c r="I497" t="s">
        <v>3</v>
      </c>
      <c r="J497">
        <v>3</v>
      </c>
      <c r="K497" t="s">
        <v>4</v>
      </c>
      <c r="L497" t="s">
        <v>67</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5">
      <c r="A498" t="s">
        <v>570</v>
      </c>
      <c r="B498" t="s">
        <v>39</v>
      </c>
      <c r="C498">
        <v>12</v>
      </c>
      <c r="D498">
        <v>20.8</v>
      </c>
      <c r="E498">
        <v>249.60000000000002</v>
      </c>
      <c r="F498" s="1">
        <v>45679</v>
      </c>
      <c r="G498" s="1">
        <v>45680</v>
      </c>
      <c r="H498" t="s">
        <v>8</v>
      </c>
      <c r="I498" t="s">
        <v>36</v>
      </c>
      <c r="J498">
        <v>4</v>
      </c>
      <c r="K498" t="s">
        <v>4</v>
      </c>
      <c r="L498" t="s">
        <v>67</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5">
      <c r="A499" t="s">
        <v>571</v>
      </c>
      <c r="B499" t="s">
        <v>52</v>
      </c>
      <c r="C499">
        <v>2</v>
      </c>
      <c r="D499">
        <v>72.7</v>
      </c>
      <c r="E499">
        <v>145.4</v>
      </c>
      <c r="F499" s="1">
        <v>45679</v>
      </c>
      <c r="G499" s="1">
        <v>45683</v>
      </c>
      <c r="H499" t="s">
        <v>12</v>
      </c>
      <c r="I499" t="s">
        <v>55</v>
      </c>
      <c r="J499">
        <v>5</v>
      </c>
      <c r="K499" t="s">
        <v>4</v>
      </c>
      <c r="L499" t="s">
        <v>572</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5">
      <c r="A500" t="s">
        <v>573</v>
      </c>
      <c r="B500" t="s">
        <v>39</v>
      </c>
      <c r="C500">
        <v>4</v>
      </c>
      <c r="D500">
        <v>38.6</v>
      </c>
      <c r="E500">
        <v>154.4</v>
      </c>
      <c r="F500" s="1">
        <v>45679</v>
      </c>
      <c r="G500" s="1">
        <v>45680</v>
      </c>
      <c r="H500" t="s">
        <v>8</v>
      </c>
      <c r="I500" t="s">
        <v>3</v>
      </c>
      <c r="J500">
        <v>5</v>
      </c>
      <c r="K500" t="s">
        <v>4</v>
      </c>
      <c r="L500" t="s">
        <v>132</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5">
      <c r="A501" t="s">
        <v>574</v>
      </c>
      <c r="B501" t="s">
        <v>29</v>
      </c>
      <c r="C501">
        <v>7</v>
      </c>
      <c r="D501">
        <v>33.1</v>
      </c>
      <c r="E501">
        <v>231.70000000000002</v>
      </c>
      <c r="F501" s="1">
        <v>45679</v>
      </c>
      <c r="G501" s="1">
        <v>45680</v>
      </c>
      <c r="H501" t="s">
        <v>74</v>
      </c>
      <c r="I501" t="s">
        <v>55</v>
      </c>
      <c r="J501">
        <v>1</v>
      </c>
      <c r="K501" t="s">
        <v>4</v>
      </c>
      <c r="L501" t="s">
        <v>18</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5">
      <c r="A502" t="s">
        <v>575</v>
      </c>
      <c r="B502" t="s">
        <v>39</v>
      </c>
      <c r="C502">
        <v>2</v>
      </c>
      <c r="D502">
        <v>30.5</v>
      </c>
      <c r="E502">
        <v>61</v>
      </c>
      <c r="F502" s="1">
        <v>45679</v>
      </c>
      <c r="G502" s="1">
        <v>45679</v>
      </c>
      <c r="H502" t="s">
        <v>2</v>
      </c>
      <c r="I502" t="s">
        <v>20</v>
      </c>
      <c r="J502">
        <v>3</v>
      </c>
      <c r="K502" t="s">
        <v>4</v>
      </c>
      <c r="L502" t="s">
        <v>18</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5">
      <c r="A503" t="s">
        <v>576</v>
      </c>
      <c r="B503" t="s">
        <v>31</v>
      </c>
      <c r="C503">
        <v>2</v>
      </c>
      <c r="D503">
        <v>69.599999999999994</v>
      </c>
      <c r="E503">
        <v>139.19999999999999</v>
      </c>
      <c r="F503" s="1">
        <v>45679</v>
      </c>
      <c r="G503" s="1">
        <v>45680</v>
      </c>
      <c r="H503" t="s">
        <v>8</v>
      </c>
      <c r="I503" t="s">
        <v>3</v>
      </c>
      <c r="J503">
        <v>3</v>
      </c>
      <c r="K503" t="s">
        <v>4</v>
      </c>
      <c r="L503" t="s">
        <v>18</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5">
      <c r="A504" t="s">
        <v>577</v>
      </c>
      <c r="B504" t="s">
        <v>52</v>
      </c>
      <c r="C504">
        <v>1</v>
      </c>
      <c r="D504">
        <v>42.4</v>
      </c>
      <c r="E504">
        <v>42.4</v>
      </c>
      <c r="F504" s="1">
        <v>45679</v>
      </c>
      <c r="G504" s="1">
        <v>45683</v>
      </c>
      <c r="H504" t="s">
        <v>12</v>
      </c>
      <c r="I504" t="s">
        <v>20</v>
      </c>
      <c r="J504">
        <v>4</v>
      </c>
      <c r="K504" t="s">
        <v>4</v>
      </c>
      <c r="L504" t="s">
        <v>18</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5">
      <c r="A505" t="s">
        <v>578</v>
      </c>
      <c r="B505" t="s">
        <v>120</v>
      </c>
      <c r="C505">
        <v>1</v>
      </c>
      <c r="D505">
        <v>32.200000000000003</v>
      </c>
      <c r="E505">
        <v>32.200000000000003</v>
      </c>
      <c r="F505" s="1">
        <v>45679</v>
      </c>
      <c r="G505" s="1">
        <v>45682</v>
      </c>
      <c r="H505" t="s">
        <v>12</v>
      </c>
      <c r="I505" t="s">
        <v>25</v>
      </c>
      <c r="J505">
        <v>3</v>
      </c>
      <c r="K505" t="s">
        <v>4</v>
      </c>
      <c r="L505" t="s">
        <v>18</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5">
      <c r="A506" t="s">
        <v>579</v>
      </c>
      <c r="B506" t="s">
        <v>24</v>
      </c>
      <c r="C506">
        <v>2</v>
      </c>
      <c r="D506">
        <v>41.5</v>
      </c>
      <c r="E506">
        <v>83</v>
      </c>
      <c r="F506" s="1">
        <v>45679</v>
      </c>
      <c r="G506" s="1">
        <v>45682</v>
      </c>
      <c r="H506" t="s">
        <v>12</v>
      </c>
      <c r="I506" t="s">
        <v>3</v>
      </c>
      <c r="J506">
        <v>5</v>
      </c>
      <c r="K506" t="s">
        <v>4</v>
      </c>
      <c r="L506" t="s">
        <v>18</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5">
      <c r="A507" t="s">
        <v>580</v>
      </c>
      <c r="B507" t="s">
        <v>113</v>
      </c>
      <c r="C507">
        <v>9</v>
      </c>
      <c r="D507">
        <v>58.9</v>
      </c>
      <c r="E507">
        <v>530.1</v>
      </c>
      <c r="F507" s="1">
        <v>45679</v>
      </c>
      <c r="G507" s="1">
        <v>45683</v>
      </c>
      <c r="H507" t="s">
        <v>12</v>
      </c>
      <c r="I507" t="s">
        <v>36</v>
      </c>
      <c r="J507">
        <v>4</v>
      </c>
      <c r="K507" t="s">
        <v>4</v>
      </c>
      <c r="L507" t="s">
        <v>18</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5">
      <c r="A508" t="s">
        <v>581</v>
      </c>
      <c r="B508" t="s">
        <v>11</v>
      </c>
      <c r="C508">
        <v>1</v>
      </c>
      <c r="D508">
        <v>57.1</v>
      </c>
      <c r="E508">
        <v>57.1</v>
      </c>
      <c r="F508" s="1">
        <v>45679</v>
      </c>
      <c r="G508" s="1">
        <v>45682</v>
      </c>
      <c r="H508" t="s">
        <v>12</v>
      </c>
      <c r="I508" t="s">
        <v>20</v>
      </c>
      <c r="J508">
        <v>4</v>
      </c>
      <c r="K508" t="s">
        <v>4</v>
      </c>
      <c r="L508" t="s">
        <v>18</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5">
      <c r="A509" t="s">
        <v>582</v>
      </c>
      <c r="B509" t="s">
        <v>24</v>
      </c>
      <c r="C509">
        <v>1</v>
      </c>
      <c r="D509">
        <v>57.2</v>
      </c>
      <c r="E509">
        <v>57.2</v>
      </c>
      <c r="F509" s="1">
        <v>45679</v>
      </c>
      <c r="G509" s="1">
        <v>45681</v>
      </c>
      <c r="H509" t="s">
        <v>8</v>
      </c>
      <c r="I509" t="s">
        <v>20</v>
      </c>
      <c r="J509">
        <v>4</v>
      </c>
      <c r="K509" t="s">
        <v>4</v>
      </c>
      <c r="L509" t="s">
        <v>18</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5">
      <c r="A510" t="s">
        <v>583</v>
      </c>
      <c r="B510" t="s">
        <v>29</v>
      </c>
      <c r="C510">
        <v>2</v>
      </c>
      <c r="D510">
        <v>35.1</v>
      </c>
      <c r="E510">
        <v>70.2</v>
      </c>
      <c r="F510" s="1">
        <v>45679</v>
      </c>
      <c r="G510" s="1">
        <v>45680</v>
      </c>
      <c r="H510" t="s">
        <v>8</v>
      </c>
      <c r="I510" t="s">
        <v>20</v>
      </c>
      <c r="J510">
        <v>4</v>
      </c>
      <c r="K510" t="s">
        <v>4</v>
      </c>
      <c r="L510" t="s">
        <v>40</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5">
      <c r="A511" t="s">
        <v>584</v>
      </c>
      <c r="B511" t="s">
        <v>7</v>
      </c>
      <c r="C511">
        <v>1</v>
      </c>
      <c r="D511">
        <v>52.1</v>
      </c>
      <c r="E511">
        <v>52.1</v>
      </c>
      <c r="F511" s="1">
        <v>45679</v>
      </c>
      <c r="G511" s="1">
        <v>45681</v>
      </c>
      <c r="H511" t="s">
        <v>12</v>
      </c>
      <c r="I511" t="s">
        <v>55</v>
      </c>
      <c r="J511">
        <v>3</v>
      </c>
      <c r="K511" t="s">
        <v>4</v>
      </c>
      <c r="L511" t="s">
        <v>47</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5">
      <c r="A512" t="s">
        <v>585</v>
      </c>
      <c r="B512" t="s">
        <v>61</v>
      </c>
      <c r="C512">
        <v>3</v>
      </c>
      <c r="D512">
        <v>59.8</v>
      </c>
      <c r="E512">
        <v>179.39999999999998</v>
      </c>
      <c r="F512" s="1">
        <v>45679</v>
      </c>
      <c r="G512" s="1">
        <v>45681</v>
      </c>
      <c r="H512" t="s">
        <v>12</v>
      </c>
      <c r="I512" t="s">
        <v>55</v>
      </c>
      <c r="J512">
        <v>3</v>
      </c>
      <c r="K512" t="s">
        <v>4</v>
      </c>
      <c r="L512" t="s">
        <v>47</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5">
      <c r="A513" t="s">
        <v>586</v>
      </c>
      <c r="B513" t="s">
        <v>15</v>
      </c>
      <c r="C513">
        <v>4</v>
      </c>
      <c r="D513">
        <v>83.3</v>
      </c>
      <c r="E513">
        <v>333.2</v>
      </c>
      <c r="F513" s="1">
        <v>45679</v>
      </c>
      <c r="G513" s="1">
        <v>45679</v>
      </c>
      <c r="H513" t="s">
        <v>2</v>
      </c>
      <c r="I513" t="s">
        <v>25</v>
      </c>
      <c r="J513">
        <v>4</v>
      </c>
      <c r="K513" t="s">
        <v>4</v>
      </c>
      <c r="L513" t="s">
        <v>47</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5">
      <c r="A514" t="s">
        <v>587</v>
      </c>
      <c r="B514" t="s">
        <v>108</v>
      </c>
      <c r="C514">
        <v>12</v>
      </c>
      <c r="D514">
        <v>41.3</v>
      </c>
      <c r="E514">
        <v>495.59999999999997</v>
      </c>
      <c r="F514" s="1">
        <v>45679</v>
      </c>
      <c r="G514" s="1">
        <v>45680</v>
      </c>
      <c r="H514" t="s">
        <v>12</v>
      </c>
      <c r="I514" t="s">
        <v>20</v>
      </c>
      <c r="J514">
        <v>4</v>
      </c>
      <c r="K514" t="s">
        <v>4</v>
      </c>
      <c r="L514" t="s">
        <v>47</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5">
      <c r="A515" t="s">
        <v>588</v>
      </c>
      <c r="B515" t="s">
        <v>29</v>
      </c>
      <c r="C515">
        <v>5</v>
      </c>
      <c r="D515">
        <v>16</v>
      </c>
      <c r="E515">
        <v>80</v>
      </c>
      <c r="F515" s="1">
        <v>45679</v>
      </c>
      <c r="G515" s="1">
        <v>45681</v>
      </c>
      <c r="H515" t="s">
        <v>8</v>
      </c>
      <c r="I515" t="s">
        <v>55</v>
      </c>
      <c r="J515">
        <v>3</v>
      </c>
      <c r="K515" t="s">
        <v>4</v>
      </c>
      <c r="L515" t="s">
        <v>57</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5">
      <c r="A516" t="s">
        <v>589</v>
      </c>
      <c r="B516" t="s">
        <v>39</v>
      </c>
      <c r="C516">
        <v>2</v>
      </c>
      <c r="D516">
        <v>20.8</v>
      </c>
      <c r="E516">
        <v>41.6</v>
      </c>
      <c r="F516" s="1">
        <v>45680</v>
      </c>
      <c r="G516" s="1">
        <v>45682</v>
      </c>
      <c r="H516" t="s">
        <v>8</v>
      </c>
      <c r="I516" t="s">
        <v>3</v>
      </c>
      <c r="J516">
        <v>5</v>
      </c>
      <c r="K516" t="s">
        <v>4</v>
      </c>
      <c r="L516" t="s">
        <v>62</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5">
      <c r="A517" t="s">
        <v>590</v>
      </c>
      <c r="B517" t="s">
        <v>29</v>
      </c>
      <c r="C517">
        <v>28</v>
      </c>
      <c r="D517">
        <v>27.1</v>
      </c>
      <c r="E517">
        <v>758.80000000000007</v>
      </c>
      <c r="F517" s="1">
        <v>45680</v>
      </c>
      <c r="G517" s="1">
        <v>45681</v>
      </c>
      <c r="H517" t="s">
        <v>2</v>
      </c>
      <c r="I517" t="s">
        <v>36</v>
      </c>
      <c r="J517">
        <v>5</v>
      </c>
      <c r="K517" t="s">
        <v>4</v>
      </c>
      <c r="L517" t="s">
        <v>62</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5">
      <c r="A518" t="s">
        <v>591</v>
      </c>
      <c r="B518" t="s">
        <v>39</v>
      </c>
      <c r="C518">
        <v>2</v>
      </c>
      <c r="D518">
        <v>38.9</v>
      </c>
      <c r="E518">
        <v>77.8</v>
      </c>
      <c r="F518" s="1">
        <v>45680</v>
      </c>
      <c r="G518" s="1">
        <v>45682</v>
      </c>
      <c r="H518" t="s">
        <v>12</v>
      </c>
      <c r="I518" t="s">
        <v>3</v>
      </c>
      <c r="J518">
        <v>4</v>
      </c>
      <c r="K518" t="s">
        <v>4</v>
      </c>
      <c r="L518" t="s">
        <v>93</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5">
      <c r="A519" t="s">
        <v>592</v>
      </c>
      <c r="B519" t="s">
        <v>1</v>
      </c>
      <c r="C519">
        <v>2</v>
      </c>
      <c r="D519">
        <v>10.8</v>
      </c>
      <c r="E519">
        <v>21.6</v>
      </c>
      <c r="F519" s="1">
        <v>45680</v>
      </c>
      <c r="G519" s="1">
        <v>45683</v>
      </c>
      <c r="H519" t="s">
        <v>12</v>
      </c>
      <c r="I519" t="s">
        <v>20</v>
      </c>
      <c r="J519">
        <v>5</v>
      </c>
      <c r="K519" t="s">
        <v>4</v>
      </c>
      <c r="L519" t="s">
        <v>593</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5">
      <c r="A520" t="s">
        <v>594</v>
      </c>
      <c r="B520" t="s">
        <v>17</v>
      </c>
      <c r="C520">
        <v>13</v>
      </c>
      <c r="D520">
        <v>48.4</v>
      </c>
      <c r="E520">
        <v>629.19999999999993</v>
      </c>
      <c r="F520" s="1">
        <v>45680</v>
      </c>
      <c r="G520" s="1">
        <v>45684</v>
      </c>
      <c r="H520" t="s">
        <v>12</v>
      </c>
      <c r="I520" t="s">
        <v>3</v>
      </c>
      <c r="J520">
        <v>4</v>
      </c>
      <c r="K520" t="s">
        <v>4</v>
      </c>
      <c r="L520" t="s">
        <v>100</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5">
      <c r="A521" t="s">
        <v>595</v>
      </c>
      <c r="B521" t="s">
        <v>17</v>
      </c>
      <c r="C521">
        <v>3</v>
      </c>
      <c r="D521">
        <v>29.2</v>
      </c>
      <c r="E521">
        <v>87.6</v>
      </c>
      <c r="F521" s="1">
        <v>45680</v>
      </c>
      <c r="G521" s="1">
        <v>45683</v>
      </c>
      <c r="H521" t="s">
        <v>12</v>
      </c>
      <c r="I521" t="s">
        <v>20</v>
      </c>
      <c r="J521">
        <v>3</v>
      </c>
      <c r="K521" t="s">
        <v>4</v>
      </c>
      <c r="L521" t="s">
        <v>13</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5">
      <c r="A522" t="s">
        <v>596</v>
      </c>
      <c r="B522" t="s">
        <v>17</v>
      </c>
      <c r="C522">
        <v>2</v>
      </c>
      <c r="D522">
        <v>25.1</v>
      </c>
      <c r="E522">
        <v>50.2</v>
      </c>
      <c r="F522" s="1">
        <v>45680</v>
      </c>
      <c r="G522" s="1">
        <v>45681</v>
      </c>
      <c r="H522" t="s">
        <v>8</v>
      </c>
      <c r="I522" t="s">
        <v>3</v>
      </c>
      <c r="J522">
        <v>3</v>
      </c>
      <c r="K522" t="s">
        <v>4</v>
      </c>
      <c r="L522" t="s">
        <v>13</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5">
      <c r="A523" t="s">
        <v>597</v>
      </c>
      <c r="B523" t="s">
        <v>27</v>
      </c>
      <c r="C523">
        <v>3</v>
      </c>
      <c r="D523">
        <v>65.599999999999994</v>
      </c>
      <c r="E523">
        <v>196.79999999999998</v>
      </c>
      <c r="F523" s="1">
        <v>45680</v>
      </c>
      <c r="G523" s="1">
        <v>45680</v>
      </c>
      <c r="H523" t="s">
        <v>12</v>
      </c>
      <c r="I523" t="s">
        <v>25</v>
      </c>
      <c r="J523">
        <v>3</v>
      </c>
      <c r="K523" t="s">
        <v>4</v>
      </c>
      <c r="L523" t="s">
        <v>18</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5">
      <c r="A524" t="s">
        <v>598</v>
      </c>
      <c r="B524" t="s">
        <v>11</v>
      </c>
      <c r="C524">
        <v>2</v>
      </c>
      <c r="D524">
        <v>57.3</v>
      </c>
      <c r="E524">
        <v>114.6</v>
      </c>
      <c r="F524" s="1">
        <v>45680</v>
      </c>
      <c r="G524" s="1">
        <v>45680</v>
      </c>
      <c r="H524" t="s">
        <v>2</v>
      </c>
      <c r="I524" t="s">
        <v>3</v>
      </c>
      <c r="J524">
        <v>4</v>
      </c>
      <c r="K524" t="s">
        <v>4</v>
      </c>
      <c r="L524" t="s">
        <v>18</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5">
      <c r="A525" t="s">
        <v>599</v>
      </c>
      <c r="B525" t="s">
        <v>31</v>
      </c>
      <c r="C525">
        <v>4</v>
      </c>
      <c r="D525">
        <v>22.4</v>
      </c>
      <c r="E525">
        <v>89.6</v>
      </c>
      <c r="F525" s="1">
        <v>45680</v>
      </c>
      <c r="G525" s="1">
        <v>45681</v>
      </c>
      <c r="H525" t="s">
        <v>12</v>
      </c>
      <c r="I525" t="s">
        <v>25</v>
      </c>
      <c r="J525">
        <v>5</v>
      </c>
      <c r="K525" t="s">
        <v>4</v>
      </c>
      <c r="L525" t="s">
        <v>18</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5">
      <c r="A526" t="s">
        <v>600</v>
      </c>
      <c r="B526" t="s">
        <v>54</v>
      </c>
      <c r="C526">
        <v>9</v>
      </c>
      <c r="D526">
        <v>45.7</v>
      </c>
      <c r="E526">
        <v>411.3</v>
      </c>
      <c r="F526" s="1">
        <v>45680</v>
      </c>
      <c r="G526" s="1">
        <v>45681</v>
      </c>
      <c r="H526" t="s">
        <v>12</v>
      </c>
      <c r="I526" t="s">
        <v>3</v>
      </c>
      <c r="J526">
        <v>4</v>
      </c>
      <c r="K526" t="s">
        <v>4</v>
      </c>
      <c r="L526" t="s">
        <v>18</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5">
      <c r="A527" t="s">
        <v>601</v>
      </c>
      <c r="B527" t="s">
        <v>29</v>
      </c>
      <c r="C527">
        <v>2</v>
      </c>
      <c r="D527">
        <v>29.3</v>
      </c>
      <c r="E527">
        <v>58.6</v>
      </c>
      <c r="F527" s="1">
        <v>45680</v>
      </c>
      <c r="G527" s="1">
        <v>45681</v>
      </c>
      <c r="H527" t="s">
        <v>8</v>
      </c>
      <c r="I527" t="s">
        <v>20</v>
      </c>
      <c r="J527">
        <v>4</v>
      </c>
      <c r="K527" t="s">
        <v>4</v>
      </c>
      <c r="L527" t="s">
        <v>18</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5">
      <c r="A528" t="s">
        <v>602</v>
      </c>
      <c r="B528" t="s">
        <v>131</v>
      </c>
      <c r="C528">
        <v>22</v>
      </c>
      <c r="D528">
        <v>74</v>
      </c>
      <c r="E528">
        <v>1628</v>
      </c>
      <c r="F528" s="1">
        <v>45680</v>
      </c>
      <c r="G528" s="1">
        <v>45681</v>
      </c>
      <c r="H528" t="s">
        <v>8</v>
      </c>
      <c r="I528" t="s">
        <v>3</v>
      </c>
      <c r="J528">
        <v>5</v>
      </c>
      <c r="K528" t="s">
        <v>4</v>
      </c>
      <c r="L528" t="s">
        <v>18</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5">
      <c r="A529" t="s">
        <v>603</v>
      </c>
      <c r="B529" t="s">
        <v>66</v>
      </c>
      <c r="C529">
        <v>2</v>
      </c>
      <c r="D529">
        <v>39.200000000000003</v>
      </c>
      <c r="E529">
        <v>78.400000000000006</v>
      </c>
      <c r="F529" s="1">
        <v>45680</v>
      </c>
      <c r="G529" s="1">
        <v>45682</v>
      </c>
      <c r="H529" t="s">
        <v>12</v>
      </c>
      <c r="I529" t="s">
        <v>20</v>
      </c>
      <c r="J529">
        <v>4</v>
      </c>
      <c r="K529" t="s">
        <v>4</v>
      </c>
      <c r="L529" t="s">
        <v>18</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5">
      <c r="A530" t="s">
        <v>604</v>
      </c>
      <c r="B530" t="s">
        <v>17</v>
      </c>
      <c r="C530">
        <v>17</v>
      </c>
      <c r="D530">
        <v>62.7</v>
      </c>
      <c r="E530">
        <v>1065.9000000000001</v>
      </c>
      <c r="F530" s="1">
        <v>45680</v>
      </c>
      <c r="G530" s="1">
        <v>45681</v>
      </c>
      <c r="H530" t="s">
        <v>12</v>
      </c>
      <c r="I530" t="s">
        <v>25</v>
      </c>
      <c r="J530">
        <v>3</v>
      </c>
      <c r="K530" t="s">
        <v>4</v>
      </c>
      <c r="L530" t="s">
        <v>18</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5">
      <c r="A531" t="s">
        <v>605</v>
      </c>
      <c r="B531" t="s">
        <v>39</v>
      </c>
      <c r="C531">
        <v>2</v>
      </c>
      <c r="D531">
        <v>60.1</v>
      </c>
      <c r="E531">
        <v>120.2</v>
      </c>
      <c r="F531" s="1">
        <v>45680</v>
      </c>
      <c r="G531" s="1">
        <v>45681</v>
      </c>
      <c r="H531" t="s">
        <v>12</v>
      </c>
      <c r="I531" t="s">
        <v>36</v>
      </c>
      <c r="J531">
        <v>4</v>
      </c>
      <c r="K531" t="s">
        <v>4</v>
      </c>
      <c r="L531" t="s">
        <v>18</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5">
      <c r="A532" t="s">
        <v>606</v>
      </c>
      <c r="B532" t="s">
        <v>1</v>
      </c>
      <c r="C532">
        <v>4</v>
      </c>
      <c r="D532">
        <v>11.2</v>
      </c>
      <c r="E532">
        <v>44.8</v>
      </c>
      <c r="F532" s="1">
        <v>45680</v>
      </c>
      <c r="G532" s="1">
        <v>45681</v>
      </c>
      <c r="H532" t="s">
        <v>12</v>
      </c>
      <c r="I532" t="s">
        <v>36</v>
      </c>
      <c r="J532">
        <v>3</v>
      </c>
      <c r="K532" t="s">
        <v>4</v>
      </c>
      <c r="L532" t="s">
        <v>18</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5">
      <c r="A533" t="s">
        <v>607</v>
      </c>
      <c r="B533" t="s">
        <v>29</v>
      </c>
      <c r="C533">
        <v>2</v>
      </c>
      <c r="D533">
        <v>22.9</v>
      </c>
      <c r="E533">
        <v>45.8</v>
      </c>
      <c r="F533" s="1">
        <v>45680</v>
      </c>
      <c r="G533" s="1">
        <v>45681</v>
      </c>
      <c r="H533" t="s">
        <v>12</v>
      </c>
      <c r="I533" t="s">
        <v>3</v>
      </c>
      <c r="J533">
        <v>4</v>
      </c>
      <c r="K533" t="s">
        <v>4</v>
      </c>
      <c r="L533" t="s">
        <v>40</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5">
      <c r="A534" t="s">
        <v>608</v>
      </c>
      <c r="B534" t="s">
        <v>7</v>
      </c>
      <c r="C534">
        <v>2</v>
      </c>
      <c r="D534">
        <v>37.6</v>
      </c>
      <c r="E534">
        <v>75.2</v>
      </c>
      <c r="F534" s="1">
        <v>45680</v>
      </c>
      <c r="G534" s="1">
        <v>45683</v>
      </c>
      <c r="H534" t="s">
        <v>12</v>
      </c>
      <c r="I534" t="s">
        <v>3</v>
      </c>
      <c r="J534">
        <v>4</v>
      </c>
      <c r="K534" t="s">
        <v>4</v>
      </c>
      <c r="L534" t="s">
        <v>40</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5">
      <c r="A535" t="s">
        <v>609</v>
      </c>
      <c r="B535" t="s">
        <v>24</v>
      </c>
      <c r="C535">
        <v>1</v>
      </c>
      <c r="D535">
        <v>42.4</v>
      </c>
      <c r="E535">
        <v>42.4</v>
      </c>
      <c r="F535" s="1">
        <v>45680</v>
      </c>
      <c r="G535" s="1">
        <v>45681</v>
      </c>
      <c r="H535" t="s">
        <v>12</v>
      </c>
      <c r="I535" t="s">
        <v>36</v>
      </c>
      <c r="J535">
        <v>5</v>
      </c>
      <c r="K535" t="s">
        <v>4</v>
      </c>
      <c r="L535" t="s">
        <v>40</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5">
      <c r="A536" t="s">
        <v>610</v>
      </c>
      <c r="B536" t="s">
        <v>29</v>
      </c>
      <c r="C536">
        <v>2</v>
      </c>
      <c r="D536">
        <v>19.600000000000001</v>
      </c>
      <c r="E536">
        <v>39.200000000000003</v>
      </c>
      <c r="F536" s="1">
        <v>45680</v>
      </c>
      <c r="G536" s="1">
        <v>45684</v>
      </c>
      <c r="H536" t="s">
        <v>12</v>
      </c>
      <c r="I536" t="s">
        <v>25</v>
      </c>
      <c r="J536">
        <v>4</v>
      </c>
      <c r="K536" t="s">
        <v>4</v>
      </c>
      <c r="L536" t="s">
        <v>44</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5">
      <c r="A537" t="s">
        <v>611</v>
      </c>
      <c r="B537" t="s">
        <v>31</v>
      </c>
      <c r="C537">
        <v>1</v>
      </c>
      <c r="D537">
        <v>90.5</v>
      </c>
      <c r="E537">
        <v>90.5</v>
      </c>
      <c r="F537" s="1">
        <v>45680</v>
      </c>
      <c r="G537" s="1">
        <v>45683</v>
      </c>
      <c r="H537" t="s">
        <v>12</v>
      </c>
      <c r="I537" t="s">
        <v>25</v>
      </c>
      <c r="J537">
        <v>4</v>
      </c>
      <c r="K537" t="s">
        <v>4</v>
      </c>
      <c r="L537" t="s">
        <v>44</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5">
      <c r="A538" t="s">
        <v>612</v>
      </c>
      <c r="B538" t="s">
        <v>113</v>
      </c>
      <c r="C538">
        <v>11</v>
      </c>
      <c r="D538">
        <v>33.9</v>
      </c>
      <c r="E538">
        <v>372.9</v>
      </c>
      <c r="F538" s="1">
        <v>45680</v>
      </c>
      <c r="G538" s="1">
        <v>45681</v>
      </c>
      <c r="H538" t="s">
        <v>8</v>
      </c>
      <c r="I538" t="s">
        <v>25</v>
      </c>
      <c r="J538">
        <v>3</v>
      </c>
      <c r="K538" t="s">
        <v>4</v>
      </c>
      <c r="L538" t="s">
        <v>44</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5">
      <c r="A539" t="s">
        <v>613</v>
      </c>
      <c r="B539" t="s">
        <v>1</v>
      </c>
      <c r="C539">
        <v>2</v>
      </c>
      <c r="D539">
        <v>32.799999999999997</v>
      </c>
      <c r="E539">
        <v>65.599999999999994</v>
      </c>
      <c r="F539" s="1">
        <v>45680</v>
      </c>
      <c r="G539" s="1">
        <v>45682</v>
      </c>
      <c r="H539" t="s">
        <v>12</v>
      </c>
      <c r="I539" t="s">
        <v>55</v>
      </c>
      <c r="J539">
        <v>2</v>
      </c>
      <c r="K539" t="s">
        <v>4</v>
      </c>
      <c r="L539" t="s">
        <v>47</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5">
      <c r="A540" t="s">
        <v>614</v>
      </c>
      <c r="B540" t="s">
        <v>108</v>
      </c>
      <c r="C540">
        <v>1</v>
      </c>
      <c r="D540">
        <v>49.9</v>
      </c>
      <c r="E540">
        <v>49.9</v>
      </c>
      <c r="F540" s="1">
        <v>45680</v>
      </c>
      <c r="G540" s="1">
        <v>45681</v>
      </c>
      <c r="H540" t="s">
        <v>8</v>
      </c>
      <c r="I540" t="s">
        <v>36</v>
      </c>
      <c r="J540">
        <v>3</v>
      </c>
      <c r="K540" t="s">
        <v>4</v>
      </c>
      <c r="L540" t="s">
        <v>47</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5">
      <c r="A541" t="s">
        <v>615</v>
      </c>
      <c r="B541" t="s">
        <v>27</v>
      </c>
      <c r="C541">
        <v>5</v>
      </c>
      <c r="D541">
        <v>79.2</v>
      </c>
      <c r="E541">
        <v>396</v>
      </c>
      <c r="F541" s="1">
        <v>45680</v>
      </c>
      <c r="G541" s="1">
        <v>45681</v>
      </c>
      <c r="H541" t="s">
        <v>12</v>
      </c>
      <c r="I541" t="s">
        <v>55</v>
      </c>
      <c r="J541">
        <v>4</v>
      </c>
      <c r="K541" t="s">
        <v>4</v>
      </c>
      <c r="L541" t="s">
        <v>47</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5">
      <c r="A542" t="s">
        <v>616</v>
      </c>
      <c r="B542" t="s">
        <v>29</v>
      </c>
      <c r="C542">
        <v>16</v>
      </c>
      <c r="D542">
        <v>19.5</v>
      </c>
      <c r="E542">
        <v>312</v>
      </c>
      <c r="F542" s="1">
        <v>45680</v>
      </c>
      <c r="G542" s="1">
        <v>45682</v>
      </c>
      <c r="H542" t="s">
        <v>8</v>
      </c>
      <c r="I542" t="s">
        <v>36</v>
      </c>
      <c r="J542">
        <v>5</v>
      </c>
      <c r="K542" t="s">
        <v>4</v>
      </c>
      <c r="L542" t="s">
        <v>47</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5">
      <c r="A543" t="s">
        <v>617</v>
      </c>
      <c r="B543" t="s">
        <v>29</v>
      </c>
      <c r="C543">
        <v>4</v>
      </c>
      <c r="D543">
        <v>18</v>
      </c>
      <c r="E543">
        <v>72</v>
      </c>
      <c r="F543" s="1">
        <v>45680</v>
      </c>
      <c r="G543" s="1">
        <v>45681</v>
      </c>
      <c r="H543" t="s">
        <v>8</v>
      </c>
      <c r="I543" t="s">
        <v>20</v>
      </c>
      <c r="J543">
        <v>4</v>
      </c>
      <c r="K543" t="s">
        <v>4</v>
      </c>
      <c r="L543" t="s">
        <v>59</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5">
      <c r="A544" t="s">
        <v>618</v>
      </c>
      <c r="B544" t="s">
        <v>31</v>
      </c>
      <c r="C544">
        <v>3</v>
      </c>
      <c r="D544">
        <v>45.9</v>
      </c>
      <c r="E544">
        <v>137.69999999999999</v>
      </c>
      <c r="F544" s="1">
        <v>45680</v>
      </c>
      <c r="G544" s="1">
        <v>45682</v>
      </c>
      <c r="H544" t="s">
        <v>12</v>
      </c>
      <c r="I544" t="s">
        <v>20</v>
      </c>
      <c r="J544">
        <v>3</v>
      </c>
      <c r="K544" t="s">
        <v>4</v>
      </c>
      <c r="L544" t="s">
        <v>59</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5">
      <c r="A545" t="s">
        <v>619</v>
      </c>
      <c r="B545" t="s">
        <v>52</v>
      </c>
      <c r="C545">
        <v>1</v>
      </c>
      <c r="D545">
        <v>41.2</v>
      </c>
      <c r="E545">
        <v>41.2</v>
      </c>
      <c r="F545" s="1">
        <v>45680</v>
      </c>
      <c r="G545" s="1">
        <v>45682</v>
      </c>
      <c r="H545" t="s">
        <v>12</v>
      </c>
      <c r="I545" t="s">
        <v>20</v>
      </c>
      <c r="J545">
        <v>5</v>
      </c>
      <c r="K545" t="s">
        <v>4</v>
      </c>
      <c r="L545" t="s">
        <v>62</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5">
      <c r="A546" t="s">
        <v>620</v>
      </c>
      <c r="B546" t="s">
        <v>11</v>
      </c>
      <c r="C546">
        <v>10</v>
      </c>
      <c r="D546">
        <v>167.2</v>
      </c>
      <c r="E546">
        <v>1672</v>
      </c>
      <c r="F546" s="1">
        <v>45680</v>
      </c>
      <c r="G546" s="1">
        <v>45682</v>
      </c>
      <c r="H546" t="s">
        <v>12</v>
      </c>
      <c r="I546" t="s">
        <v>25</v>
      </c>
      <c r="J546">
        <v>5</v>
      </c>
      <c r="K546" t="s">
        <v>4</v>
      </c>
      <c r="L546" t="s">
        <v>294</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5">
      <c r="A547" t="s">
        <v>621</v>
      </c>
      <c r="B547" t="s">
        <v>24</v>
      </c>
      <c r="C547">
        <v>30</v>
      </c>
      <c r="D547">
        <v>74.5</v>
      </c>
      <c r="E547">
        <v>2235</v>
      </c>
      <c r="F547" s="1">
        <v>45681</v>
      </c>
      <c r="G547" s="1">
        <v>45684</v>
      </c>
      <c r="H547" t="s">
        <v>12</v>
      </c>
      <c r="I547" t="s">
        <v>20</v>
      </c>
      <c r="J547">
        <v>5</v>
      </c>
      <c r="K547" t="s">
        <v>4</v>
      </c>
      <c r="L547" t="s">
        <v>362</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5">
      <c r="A548" t="s">
        <v>622</v>
      </c>
      <c r="B548" t="s">
        <v>27</v>
      </c>
      <c r="C548">
        <v>4</v>
      </c>
      <c r="D548">
        <v>39.299999999999997</v>
      </c>
      <c r="E548">
        <v>157.19999999999999</v>
      </c>
      <c r="F548" s="1">
        <v>45681</v>
      </c>
      <c r="G548" s="1">
        <v>45682</v>
      </c>
      <c r="H548" t="s">
        <v>2</v>
      </c>
      <c r="I548" t="s">
        <v>25</v>
      </c>
      <c r="J548">
        <v>4</v>
      </c>
      <c r="K548" t="s">
        <v>4</v>
      </c>
      <c r="L548" t="s">
        <v>95</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5">
      <c r="A549" t="s">
        <v>623</v>
      </c>
      <c r="B549" t="s">
        <v>31</v>
      </c>
      <c r="C549">
        <v>1</v>
      </c>
      <c r="D549">
        <v>68.5</v>
      </c>
      <c r="E549">
        <v>68.5</v>
      </c>
      <c r="F549" s="1">
        <v>45681</v>
      </c>
      <c r="G549" s="1">
        <v>45684</v>
      </c>
      <c r="H549" t="s">
        <v>8</v>
      </c>
      <c r="I549" t="s">
        <v>20</v>
      </c>
      <c r="J549">
        <v>5</v>
      </c>
      <c r="K549" t="s">
        <v>4</v>
      </c>
      <c r="L549" t="s">
        <v>64</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5">
      <c r="A550" t="s">
        <v>624</v>
      </c>
      <c r="B550" t="s">
        <v>1</v>
      </c>
      <c r="C550">
        <v>3</v>
      </c>
      <c r="D550">
        <v>22.5</v>
      </c>
      <c r="E550">
        <v>67.5</v>
      </c>
      <c r="F550" s="1">
        <v>45681</v>
      </c>
      <c r="G550" s="1">
        <v>45681</v>
      </c>
      <c r="H550" t="s">
        <v>12</v>
      </c>
      <c r="I550" t="s">
        <v>55</v>
      </c>
      <c r="J550">
        <v>4</v>
      </c>
      <c r="K550" t="s">
        <v>4</v>
      </c>
      <c r="L550" t="s">
        <v>67</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5">
      <c r="A551" t="s">
        <v>625</v>
      </c>
      <c r="B551" t="s">
        <v>7</v>
      </c>
      <c r="C551">
        <v>1</v>
      </c>
      <c r="D551">
        <v>48</v>
      </c>
      <c r="E551">
        <v>48</v>
      </c>
      <c r="F551" s="1">
        <v>45681</v>
      </c>
      <c r="G551" s="1">
        <v>45682</v>
      </c>
      <c r="H551" t="s">
        <v>74</v>
      </c>
      <c r="I551" t="s">
        <v>55</v>
      </c>
      <c r="J551">
        <v>3</v>
      </c>
      <c r="K551" t="s">
        <v>4</v>
      </c>
      <c r="L551" t="s">
        <v>626</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5">
      <c r="A552" t="s">
        <v>627</v>
      </c>
      <c r="B552" t="s">
        <v>24</v>
      </c>
      <c r="C552">
        <v>1</v>
      </c>
      <c r="D552">
        <v>94</v>
      </c>
      <c r="E552">
        <v>94</v>
      </c>
      <c r="F552" s="1">
        <v>45681</v>
      </c>
      <c r="G552" s="1">
        <v>45682</v>
      </c>
      <c r="H552" t="s">
        <v>8</v>
      </c>
      <c r="I552" t="s">
        <v>36</v>
      </c>
      <c r="J552">
        <v>3</v>
      </c>
      <c r="K552" t="s">
        <v>4</v>
      </c>
      <c r="L552" t="s">
        <v>9</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5">
      <c r="A553" t="s">
        <v>628</v>
      </c>
      <c r="B553" t="s">
        <v>29</v>
      </c>
      <c r="C553">
        <v>3</v>
      </c>
      <c r="D553">
        <v>21.9</v>
      </c>
      <c r="E553">
        <v>65.699999999999989</v>
      </c>
      <c r="F553" s="1">
        <v>45681</v>
      </c>
      <c r="G553" s="1">
        <v>45682</v>
      </c>
      <c r="H553" t="s">
        <v>12</v>
      </c>
      <c r="I553" t="s">
        <v>3</v>
      </c>
      <c r="J553">
        <v>4</v>
      </c>
      <c r="K553" t="s">
        <v>4</v>
      </c>
      <c r="L553" t="s">
        <v>572</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5">
      <c r="A554" t="s">
        <v>629</v>
      </c>
      <c r="B554" t="s">
        <v>24</v>
      </c>
      <c r="C554">
        <v>7</v>
      </c>
      <c r="D554">
        <v>64.900000000000006</v>
      </c>
      <c r="E554">
        <v>454.30000000000007</v>
      </c>
      <c r="F554" s="1">
        <v>45681</v>
      </c>
      <c r="G554" s="1">
        <v>45682</v>
      </c>
      <c r="H554" t="s">
        <v>12</v>
      </c>
      <c r="I554" t="s">
        <v>3</v>
      </c>
      <c r="J554">
        <v>4</v>
      </c>
      <c r="K554" t="s">
        <v>4</v>
      </c>
      <c r="L554" t="s">
        <v>18</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5">
      <c r="A555" t="s">
        <v>630</v>
      </c>
      <c r="B555" t="s">
        <v>54</v>
      </c>
      <c r="C555">
        <v>1</v>
      </c>
      <c r="D555">
        <v>52.9</v>
      </c>
      <c r="E555">
        <v>52.9</v>
      </c>
      <c r="F555" s="1">
        <v>45681</v>
      </c>
      <c r="G555" s="1">
        <v>45681</v>
      </c>
      <c r="H555" t="s">
        <v>12</v>
      </c>
      <c r="I555" t="s">
        <v>20</v>
      </c>
      <c r="J555">
        <v>3</v>
      </c>
      <c r="K555" t="s">
        <v>4</v>
      </c>
      <c r="L555" t="s">
        <v>18</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5">
      <c r="A556" t="s">
        <v>631</v>
      </c>
      <c r="B556" t="s">
        <v>29</v>
      </c>
      <c r="C556">
        <v>3</v>
      </c>
      <c r="D556">
        <v>25.5</v>
      </c>
      <c r="E556">
        <v>76.5</v>
      </c>
      <c r="F556" s="1">
        <v>45681</v>
      </c>
      <c r="G556" s="1">
        <v>45682</v>
      </c>
      <c r="H556" t="s">
        <v>12</v>
      </c>
      <c r="I556" t="s">
        <v>20</v>
      </c>
      <c r="J556">
        <v>5</v>
      </c>
      <c r="K556" t="s">
        <v>4</v>
      </c>
      <c r="L556" t="s">
        <v>18</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5">
      <c r="A557" t="s">
        <v>632</v>
      </c>
      <c r="B557" t="s">
        <v>24</v>
      </c>
      <c r="C557">
        <v>3</v>
      </c>
      <c r="D557">
        <v>51.9</v>
      </c>
      <c r="E557">
        <v>155.69999999999999</v>
      </c>
      <c r="F557" s="1">
        <v>45681</v>
      </c>
      <c r="G557" s="1">
        <v>45682</v>
      </c>
      <c r="H557" t="s">
        <v>12</v>
      </c>
      <c r="I557" t="s">
        <v>36</v>
      </c>
      <c r="J557">
        <v>4</v>
      </c>
      <c r="K557" t="s">
        <v>4</v>
      </c>
      <c r="L557" t="s">
        <v>18</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5">
      <c r="A558" t="s">
        <v>633</v>
      </c>
      <c r="B558" t="s">
        <v>22</v>
      </c>
      <c r="C558">
        <v>1</v>
      </c>
      <c r="D558">
        <v>46.3</v>
      </c>
      <c r="E558">
        <v>46.3</v>
      </c>
      <c r="F558" s="1">
        <v>45681</v>
      </c>
      <c r="G558" s="1">
        <v>45684</v>
      </c>
      <c r="H558" t="s">
        <v>12</v>
      </c>
      <c r="I558" t="s">
        <v>55</v>
      </c>
      <c r="J558">
        <v>4</v>
      </c>
      <c r="K558" t="s">
        <v>4</v>
      </c>
      <c r="L558" t="s">
        <v>18</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5">
      <c r="A559" t="s">
        <v>634</v>
      </c>
      <c r="B559" t="s">
        <v>24</v>
      </c>
      <c r="C559">
        <v>2</v>
      </c>
      <c r="D559">
        <v>68.2</v>
      </c>
      <c r="E559">
        <v>136.4</v>
      </c>
      <c r="F559" s="1">
        <v>45681</v>
      </c>
      <c r="G559" s="1">
        <v>45683</v>
      </c>
      <c r="H559" t="s">
        <v>12</v>
      </c>
      <c r="I559" t="s">
        <v>36</v>
      </c>
      <c r="J559">
        <v>4</v>
      </c>
      <c r="K559" t="s">
        <v>4</v>
      </c>
      <c r="L559" t="s">
        <v>18</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5">
      <c r="A560" t="s">
        <v>635</v>
      </c>
      <c r="B560" t="s">
        <v>7</v>
      </c>
      <c r="C560">
        <v>1</v>
      </c>
      <c r="D560">
        <v>40.299999999999997</v>
      </c>
      <c r="E560">
        <v>40.299999999999997</v>
      </c>
      <c r="F560" s="1">
        <v>45681</v>
      </c>
      <c r="G560" s="1">
        <v>45682</v>
      </c>
      <c r="H560" t="s">
        <v>8</v>
      </c>
      <c r="I560" t="s">
        <v>3</v>
      </c>
      <c r="J560">
        <v>3</v>
      </c>
      <c r="K560" t="s">
        <v>4</v>
      </c>
      <c r="L560" t="s">
        <v>18</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5">
      <c r="A561" t="s">
        <v>636</v>
      </c>
      <c r="B561" t="s">
        <v>11</v>
      </c>
      <c r="C561">
        <v>3</v>
      </c>
      <c r="D561">
        <v>91.3</v>
      </c>
      <c r="E561">
        <v>273.89999999999998</v>
      </c>
      <c r="F561" s="1">
        <v>45681</v>
      </c>
      <c r="G561" s="1">
        <v>45686</v>
      </c>
      <c r="H561" t="s">
        <v>8</v>
      </c>
      <c r="I561" t="s">
        <v>3</v>
      </c>
      <c r="J561">
        <v>5</v>
      </c>
      <c r="K561" t="s">
        <v>4</v>
      </c>
      <c r="L561" t="s">
        <v>40</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5">
      <c r="A562" t="s">
        <v>637</v>
      </c>
      <c r="B562" t="s">
        <v>1</v>
      </c>
      <c r="C562">
        <v>3</v>
      </c>
      <c r="D562">
        <v>11.9</v>
      </c>
      <c r="E562">
        <v>35.700000000000003</v>
      </c>
      <c r="F562" s="1">
        <v>45681</v>
      </c>
      <c r="G562" s="1">
        <v>45682</v>
      </c>
      <c r="H562" t="s">
        <v>12</v>
      </c>
      <c r="I562" t="s">
        <v>3</v>
      </c>
      <c r="J562">
        <v>3</v>
      </c>
      <c r="K562" t="s">
        <v>4</v>
      </c>
      <c r="L562" t="s">
        <v>40</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5">
      <c r="A563" t="s">
        <v>638</v>
      </c>
      <c r="B563" t="s">
        <v>11</v>
      </c>
      <c r="C563">
        <v>2</v>
      </c>
      <c r="D563">
        <v>63.5</v>
      </c>
      <c r="E563">
        <v>127</v>
      </c>
      <c r="F563" s="1">
        <v>45681</v>
      </c>
      <c r="G563" s="1">
        <v>45683</v>
      </c>
      <c r="H563" t="s">
        <v>8</v>
      </c>
      <c r="I563" t="s">
        <v>20</v>
      </c>
      <c r="J563">
        <v>4</v>
      </c>
      <c r="K563" t="s">
        <v>4</v>
      </c>
      <c r="L563" t="s">
        <v>40</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5">
      <c r="A564" t="s">
        <v>639</v>
      </c>
      <c r="B564" t="s">
        <v>17</v>
      </c>
      <c r="C564">
        <v>2</v>
      </c>
      <c r="D564">
        <v>27.1</v>
      </c>
      <c r="E564">
        <v>54.2</v>
      </c>
      <c r="F564" s="1">
        <v>45681</v>
      </c>
      <c r="G564" s="1">
        <v>45684</v>
      </c>
      <c r="H564" t="s">
        <v>8</v>
      </c>
      <c r="I564" t="s">
        <v>25</v>
      </c>
      <c r="J564">
        <v>5</v>
      </c>
      <c r="K564" t="s">
        <v>4</v>
      </c>
      <c r="L564" t="s">
        <v>40</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5">
      <c r="A565" t="s">
        <v>640</v>
      </c>
      <c r="B565" t="s">
        <v>7</v>
      </c>
      <c r="C565">
        <v>2</v>
      </c>
      <c r="D565">
        <v>82.1</v>
      </c>
      <c r="E565">
        <v>164.2</v>
      </c>
      <c r="F565" s="1">
        <v>45682</v>
      </c>
      <c r="G565" s="1">
        <v>45685</v>
      </c>
      <c r="H565" t="s">
        <v>8</v>
      </c>
      <c r="I565" t="s">
        <v>20</v>
      </c>
      <c r="J565">
        <v>3</v>
      </c>
      <c r="K565" t="s">
        <v>4</v>
      </c>
      <c r="L565" t="s">
        <v>44</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5">
      <c r="A566" t="s">
        <v>641</v>
      </c>
      <c r="B566" t="s">
        <v>15</v>
      </c>
      <c r="C566">
        <v>5</v>
      </c>
      <c r="D566">
        <v>42.9</v>
      </c>
      <c r="E566">
        <v>214.5</v>
      </c>
      <c r="F566" s="1">
        <v>45682</v>
      </c>
      <c r="G566" s="1">
        <v>45684</v>
      </c>
      <c r="H566" t="s">
        <v>12</v>
      </c>
      <c r="I566" t="s">
        <v>20</v>
      </c>
      <c r="J566">
        <v>4</v>
      </c>
      <c r="K566" t="s">
        <v>4</v>
      </c>
      <c r="L566" t="s">
        <v>47</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5">
      <c r="A567" t="s">
        <v>642</v>
      </c>
      <c r="B567" t="s">
        <v>29</v>
      </c>
      <c r="C567">
        <v>11</v>
      </c>
      <c r="D567">
        <v>37.9</v>
      </c>
      <c r="E567">
        <v>416.9</v>
      </c>
      <c r="F567" s="1">
        <v>45682</v>
      </c>
      <c r="G567" s="1">
        <v>45689</v>
      </c>
      <c r="H567" t="s">
        <v>8</v>
      </c>
      <c r="I567" t="s">
        <v>3</v>
      </c>
      <c r="J567">
        <v>4</v>
      </c>
      <c r="K567" t="s">
        <v>4</v>
      </c>
      <c r="L567" t="s">
        <v>47</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5">
      <c r="A568" t="s">
        <v>643</v>
      </c>
      <c r="B568" t="s">
        <v>1</v>
      </c>
      <c r="C568">
        <v>1</v>
      </c>
      <c r="D568">
        <v>22.4</v>
      </c>
      <c r="E568">
        <v>22.4</v>
      </c>
      <c r="F568" s="1">
        <v>45682</v>
      </c>
      <c r="G568" s="1">
        <v>45683</v>
      </c>
      <c r="H568" t="s">
        <v>12</v>
      </c>
      <c r="I568" t="s">
        <v>3</v>
      </c>
      <c r="J568">
        <v>3</v>
      </c>
      <c r="K568" t="s">
        <v>4</v>
      </c>
      <c r="L568" t="s">
        <v>88</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5">
      <c r="A569" t="s">
        <v>644</v>
      </c>
      <c r="B569" t="s">
        <v>11</v>
      </c>
      <c r="C569">
        <v>13</v>
      </c>
      <c r="D569">
        <v>79.900000000000006</v>
      </c>
      <c r="E569">
        <v>1038.7</v>
      </c>
      <c r="F569" s="1">
        <v>45682</v>
      </c>
      <c r="G569" s="1">
        <v>45695</v>
      </c>
      <c r="H569" t="s">
        <v>12</v>
      </c>
      <c r="I569" t="s">
        <v>36</v>
      </c>
      <c r="J569">
        <v>3</v>
      </c>
      <c r="K569" t="s">
        <v>4</v>
      </c>
      <c r="L569" t="s">
        <v>62</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5">
      <c r="A570" t="s">
        <v>645</v>
      </c>
      <c r="B570" t="s">
        <v>7</v>
      </c>
      <c r="C570">
        <v>1</v>
      </c>
      <c r="D570">
        <v>70.599999999999994</v>
      </c>
      <c r="E570">
        <v>70.599999999999994</v>
      </c>
      <c r="F570" s="1">
        <v>45682</v>
      </c>
      <c r="G570" s="1">
        <v>45685</v>
      </c>
      <c r="H570" t="s">
        <v>12</v>
      </c>
      <c r="I570" t="s">
        <v>3</v>
      </c>
      <c r="J570">
        <v>3</v>
      </c>
      <c r="K570" t="s">
        <v>4</v>
      </c>
      <c r="L570" t="s">
        <v>62</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5">
      <c r="A571" t="s">
        <v>646</v>
      </c>
      <c r="B571" t="s">
        <v>24</v>
      </c>
      <c r="C571">
        <v>1</v>
      </c>
      <c r="D571">
        <v>49.5</v>
      </c>
      <c r="E571">
        <v>49.5</v>
      </c>
      <c r="F571" s="1">
        <v>45682</v>
      </c>
      <c r="G571" s="1">
        <v>45684</v>
      </c>
      <c r="H571" t="s">
        <v>8</v>
      </c>
      <c r="I571" t="s">
        <v>3</v>
      </c>
      <c r="J571">
        <v>4</v>
      </c>
      <c r="K571" t="s">
        <v>4</v>
      </c>
      <c r="L571" t="s">
        <v>67</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5">
      <c r="A572" t="s">
        <v>647</v>
      </c>
      <c r="B572" t="s">
        <v>11</v>
      </c>
      <c r="C572">
        <v>2</v>
      </c>
      <c r="D572">
        <v>96.6</v>
      </c>
      <c r="E572">
        <v>193.2</v>
      </c>
      <c r="F572" s="1">
        <v>45682</v>
      </c>
      <c r="G572" s="1">
        <v>45684</v>
      </c>
      <c r="H572" t="s">
        <v>8</v>
      </c>
      <c r="I572" t="s">
        <v>3</v>
      </c>
      <c r="J572">
        <v>4</v>
      </c>
      <c r="K572" t="s">
        <v>4</v>
      </c>
      <c r="L572" t="s">
        <v>100</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5">
      <c r="A573" t="s">
        <v>648</v>
      </c>
      <c r="B573" t="s">
        <v>24</v>
      </c>
      <c r="C573">
        <v>2</v>
      </c>
      <c r="D573">
        <v>52.8</v>
      </c>
      <c r="E573">
        <v>105.6</v>
      </c>
      <c r="F573" s="1">
        <v>45682</v>
      </c>
      <c r="G573" s="1">
        <v>45683</v>
      </c>
      <c r="H573" t="s">
        <v>12</v>
      </c>
      <c r="I573" t="s">
        <v>20</v>
      </c>
      <c r="J573">
        <v>3</v>
      </c>
      <c r="K573" t="s">
        <v>4</v>
      </c>
      <c r="L573" t="s">
        <v>100</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5">
      <c r="A574" t="s">
        <v>649</v>
      </c>
      <c r="B574" t="s">
        <v>11</v>
      </c>
      <c r="C574">
        <v>1</v>
      </c>
      <c r="D574">
        <v>101.7</v>
      </c>
      <c r="E574">
        <v>101.7</v>
      </c>
      <c r="F574" s="1">
        <v>45682</v>
      </c>
      <c r="G574" s="1">
        <v>45683</v>
      </c>
      <c r="H574" t="s">
        <v>8</v>
      </c>
      <c r="I574" t="s">
        <v>3</v>
      </c>
      <c r="J574">
        <v>4</v>
      </c>
      <c r="K574" t="s">
        <v>4</v>
      </c>
      <c r="L574" t="s">
        <v>9</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5">
      <c r="A575" t="s">
        <v>650</v>
      </c>
      <c r="B575" t="s">
        <v>17</v>
      </c>
      <c r="C575">
        <v>5</v>
      </c>
      <c r="D575">
        <v>26.9</v>
      </c>
      <c r="E575">
        <v>134.5</v>
      </c>
      <c r="F575" s="1">
        <v>45682</v>
      </c>
      <c r="G575" s="1">
        <v>45687</v>
      </c>
      <c r="H575" t="s">
        <v>12</v>
      </c>
      <c r="I575" t="s">
        <v>20</v>
      </c>
      <c r="J575">
        <v>3</v>
      </c>
      <c r="K575" t="s">
        <v>4</v>
      </c>
      <c r="L575" t="s">
        <v>132</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5">
      <c r="A576" t="s">
        <v>651</v>
      </c>
      <c r="B576" t="s">
        <v>11</v>
      </c>
      <c r="C576">
        <v>4</v>
      </c>
      <c r="D576">
        <v>211</v>
      </c>
      <c r="E576">
        <v>844</v>
      </c>
      <c r="F576" s="1">
        <v>45682</v>
      </c>
      <c r="G576" s="1">
        <v>45682</v>
      </c>
      <c r="H576" t="s">
        <v>12</v>
      </c>
      <c r="I576" t="s">
        <v>20</v>
      </c>
      <c r="J576">
        <v>3</v>
      </c>
      <c r="K576" t="s">
        <v>4</v>
      </c>
      <c r="L576" t="s">
        <v>18</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5">
      <c r="A577" t="s">
        <v>652</v>
      </c>
      <c r="B577" t="s">
        <v>1</v>
      </c>
      <c r="C577">
        <v>4</v>
      </c>
      <c r="D577">
        <v>21.1</v>
      </c>
      <c r="E577">
        <v>84.4</v>
      </c>
      <c r="F577" s="1">
        <v>45682</v>
      </c>
      <c r="G577" s="1">
        <v>45685</v>
      </c>
      <c r="H577" t="s">
        <v>8</v>
      </c>
      <c r="I577" t="s">
        <v>55</v>
      </c>
      <c r="J577">
        <v>4</v>
      </c>
      <c r="K577" t="s">
        <v>4</v>
      </c>
      <c r="L577" t="s">
        <v>18</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5">
      <c r="A578" t="s">
        <v>653</v>
      </c>
      <c r="B578" t="s">
        <v>39</v>
      </c>
      <c r="C578">
        <v>1</v>
      </c>
      <c r="D578">
        <v>26.6</v>
      </c>
      <c r="E578">
        <v>26.6</v>
      </c>
      <c r="F578" s="1">
        <v>45682</v>
      </c>
      <c r="G578" s="1">
        <v>45684</v>
      </c>
      <c r="H578" t="s">
        <v>8</v>
      </c>
      <c r="I578" t="s">
        <v>3</v>
      </c>
      <c r="J578">
        <v>2</v>
      </c>
      <c r="K578" t="s">
        <v>4</v>
      </c>
      <c r="L578" t="s">
        <v>18</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5">
      <c r="A579" t="s">
        <v>654</v>
      </c>
      <c r="B579" t="s">
        <v>54</v>
      </c>
      <c r="C579">
        <v>4</v>
      </c>
      <c r="D579">
        <v>51.2</v>
      </c>
      <c r="E579">
        <v>204.8</v>
      </c>
      <c r="F579" s="1">
        <v>45682</v>
      </c>
      <c r="G579" s="1">
        <v>45683</v>
      </c>
      <c r="H579" t="s">
        <v>12</v>
      </c>
      <c r="I579" t="s">
        <v>36</v>
      </c>
      <c r="J579">
        <v>4</v>
      </c>
      <c r="K579" t="s">
        <v>4</v>
      </c>
      <c r="L579" t="s">
        <v>655</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5">
      <c r="A580" t="s">
        <v>656</v>
      </c>
      <c r="B580" t="s">
        <v>1</v>
      </c>
      <c r="C580">
        <v>5</v>
      </c>
      <c r="D580">
        <v>10.6</v>
      </c>
      <c r="E580">
        <v>53</v>
      </c>
      <c r="F580" s="1">
        <v>45682</v>
      </c>
      <c r="G580" s="1">
        <v>45686</v>
      </c>
      <c r="H580" t="s">
        <v>12</v>
      </c>
      <c r="I580" t="s">
        <v>3</v>
      </c>
      <c r="J580">
        <v>4</v>
      </c>
      <c r="K580" t="s">
        <v>4</v>
      </c>
      <c r="L580" t="s">
        <v>47</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5">
      <c r="A581" t="s">
        <v>657</v>
      </c>
      <c r="B581" t="s">
        <v>24</v>
      </c>
      <c r="C581">
        <v>3</v>
      </c>
      <c r="D581">
        <v>43.4</v>
      </c>
      <c r="E581">
        <v>130.19999999999999</v>
      </c>
      <c r="F581" s="1">
        <v>45682</v>
      </c>
      <c r="G581" s="1">
        <v>45685</v>
      </c>
      <c r="H581" t="s">
        <v>12</v>
      </c>
      <c r="I581" t="s">
        <v>55</v>
      </c>
      <c r="J581">
        <v>4</v>
      </c>
      <c r="K581" t="s">
        <v>4</v>
      </c>
      <c r="L581" t="s">
        <v>47</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5">
      <c r="A582" t="s">
        <v>658</v>
      </c>
      <c r="B582" t="s">
        <v>54</v>
      </c>
      <c r="C582">
        <v>1</v>
      </c>
      <c r="D582">
        <v>80</v>
      </c>
      <c r="E582">
        <v>80</v>
      </c>
      <c r="F582" s="1">
        <v>45682</v>
      </c>
      <c r="G582" s="1">
        <v>45682</v>
      </c>
      <c r="H582" t="s">
        <v>12</v>
      </c>
      <c r="I582" t="s">
        <v>3</v>
      </c>
      <c r="J582">
        <v>5</v>
      </c>
      <c r="K582" t="s">
        <v>4</v>
      </c>
      <c r="L582" t="s">
        <v>47</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5">
      <c r="A583" t="s">
        <v>659</v>
      </c>
      <c r="B583" t="s">
        <v>39</v>
      </c>
      <c r="C583">
        <v>4</v>
      </c>
      <c r="D583">
        <v>64.7</v>
      </c>
      <c r="E583">
        <v>258.8</v>
      </c>
      <c r="F583" s="1">
        <v>45682</v>
      </c>
      <c r="G583" s="1">
        <v>45684</v>
      </c>
      <c r="H583" t="s">
        <v>12</v>
      </c>
      <c r="I583" t="s">
        <v>20</v>
      </c>
      <c r="J583">
        <v>2</v>
      </c>
      <c r="K583" t="s">
        <v>4</v>
      </c>
      <c r="L583" t="s">
        <v>47</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5">
      <c r="A584" t="s">
        <v>660</v>
      </c>
      <c r="B584" t="s">
        <v>29</v>
      </c>
      <c r="C584">
        <v>11</v>
      </c>
      <c r="D584">
        <v>26.3</v>
      </c>
      <c r="E584">
        <v>289.3</v>
      </c>
      <c r="F584" s="1">
        <v>45683</v>
      </c>
      <c r="G584" s="1">
        <v>45683</v>
      </c>
      <c r="H584" t="s">
        <v>12</v>
      </c>
      <c r="I584" t="s">
        <v>55</v>
      </c>
      <c r="J584">
        <v>3</v>
      </c>
      <c r="K584" t="s">
        <v>4</v>
      </c>
      <c r="L584" t="s">
        <v>186</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5">
      <c r="A585" t="s">
        <v>661</v>
      </c>
      <c r="B585" t="s">
        <v>39</v>
      </c>
      <c r="C585">
        <v>1</v>
      </c>
      <c r="D585">
        <v>28.5</v>
      </c>
      <c r="E585">
        <v>28.5</v>
      </c>
      <c r="F585" s="1">
        <v>45683</v>
      </c>
      <c r="G585" s="1">
        <v>45683</v>
      </c>
      <c r="H585" t="s">
        <v>8</v>
      </c>
      <c r="I585" t="s">
        <v>3</v>
      </c>
      <c r="J585">
        <v>3</v>
      </c>
      <c r="K585" t="s">
        <v>4</v>
      </c>
      <c r="L585" t="s">
        <v>57</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5">
      <c r="A586" t="s">
        <v>662</v>
      </c>
      <c r="B586" t="s">
        <v>120</v>
      </c>
      <c r="C586">
        <v>1</v>
      </c>
      <c r="D586">
        <v>47.8</v>
      </c>
      <c r="E586">
        <v>47.8</v>
      </c>
      <c r="F586" s="1">
        <v>45683</v>
      </c>
      <c r="G586" s="1">
        <v>45685</v>
      </c>
      <c r="H586" t="s">
        <v>12</v>
      </c>
      <c r="I586" t="s">
        <v>3</v>
      </c>
      <c r="J586">
        <v>3</v>
      </c>
      <c r="K586" t="s">
        <v>4</v>
      </c>
      <c r="L586" t="s">
        <v>57</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5">
      <c r="A587" t="s">
        <v>663</v>
      </c>
      <c r="B587" t="s">
        <v>39</v>
      </c>
      <c r="C587">
        <v>3</v>
      </c>
      <c r="D587">
        <v>42.8</v>
      </c>
      <c r="E587">
        <v>128.39999999999998</v>
      </c>
      <c r="F587" s="1">
        <v>45683</v>
      </c>
      <c r="G587" s="1">
        <v>45686</v>
      </c>
      <c r="H587" t="s">
        <v>12</v>
      </c>
      <c r="I587" t="s">
        <v>55</v>
      </c>
      <c r="J587">
        <v>3</v>
      </c>
      <c r="K587" t="s">
        <v>4</v>
      </c>
      <c r="L587" t="s">
        <v>62</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5">
      <c r="A588" t="s">
        <v>664</v>
      </c>
      <c r="B588" t="s">
        <v>24</v>
      </c>
      <c r="C588">
        <v>5</v>
      </c>
      <c r="D588">
        <v>46.8</v>
      </c>
      <c r="E588">
        <v>234</v>
      </c>
      <c r="F588" s="1">
        <v>45683</v>
      </c>
      <c r="G588" s="1">
        <v>45688</v>
      </c>
      <c r="H588" t="s">
        <v>12</v>
      </c>
      <c r="I588" t="s">
        <v>20</v>
      </c>
      <c r="J588">
        <v>5</v>
      </c>
      <c r="K588" t="s">
        <v>4</v>
      </c>
      <c r="L588" t="s">
        <v>62</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5">
      <c r="A589" t="s">
        <v>665</v>
      </c>
      <c r="B589" t="s">
        <v>7</v>
      </c>
      <c r="C589">
        <v>10</v>
      </c>
      <c r="D589">
        <v>64.099999999999994</v>
      </c>
      <c r="E589">
        <v>641</v>
      </c>
      <c r="F589" s="1">
        <v>45683</v>
      </c>
      <c r="G589" s="1">
        <v>45684</v>
      </c>
      <c r="H589" t="s">
        <v>8</v>
      </c>
      <c r="I589" t="s">
        <v>20</v>
      </c>
      <c r="J589">
        <v>4</v>
      </c>
      <c r="K589" t="s">
        <v>4</v>
      </c>
      <c r="L589" t="s">
        <v>62</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5">
      <c r="A590" t="s">
        <v>666</v>
      </c>
      <c r="B590" t="s">
        <v>11</v>
      </c>
      <c r="C590">
        <v>1</v>
      </c>
      <c r="D590">
        <v>89.1</v>
      </c>
      <c r="E590">
        <v>89.1</v>
      </c>
      <c r="F590" s="1">
        <v>45683</v>
      </c>
      <c r="G590" s="1">
        <v>45684</v>
      </c>
      <c r="H590" t="s">
        <v>12</v>
      </c>
      <c r="I590" t="s">
        <v>3</v>
      </c>
      <c r="J590">
        <v>3</v>
      </c>
      <c r="K590" t="s">
        <v>4</v>
      </c>
      <c r="L590" t="s">
        <v>98</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5">
      <c r="A591" t="s">
        <v>667</v>
      </c>
      <c r="B591" t="s">
        <v>11</v>
      </c>
      <c r="C591">
        <v>3</v>
      </c>
      <c r="D591">
        <v>83.1</v>
      </c>
      <c r="E591">
        <v>249.29999999999998</v>
      </c>
      <c r="F591" s="1">
        <v>45683</v>
      </c>
      <c r="G591" s="1">
        <v>45684</v>
      </c>
      <c r="H591" t="s">
        <v>12</v>
      </c>
      <c r="I591" t="s">
        <v>25</v>
      </c>
      <c r="J591">
        <v>3</v>
      </c>
      <c r="K591" t="s">
        <v>4</v>
      </c>
      <c r="L591" t="s">
        <v>67</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5">
      <c r="A592" t="s">
        <v>668</v>
      </c>
      <c r="B592" t="s">
        <v>29</v>
      </c>
      <c r="C592">
        <v>3</v>
      </c>
      <c r="D592">
        <v>40.9</v>
      </c>
      <c r="E592">
        <v>122.69999999999999</v>
      </c>
      <c r="F592" s="1">
        <v>45683</v>
      </c>
      <c r="G592" s="1">
        <v>45684</v>
      </c>
      <c r="H592" t="s">
        <v>8</v>
      </c>
      <c r="I592" t="s">
        <v>3</v>
      </c>
      <c r="J592">
        <v>4</v>
      </c>
      <c r="K592" t="s">
        <v>4</v>
      </c>
      <c r="L592" t="s">
        <v>9</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5">
      <c r="A593" t="s">
        <v>669</v>
      </c>
      <c r="B593" t="s">
        <v>11</v>
      </c>
      <c r="C593">
        <v>2</v>
      </c>
      <c r="D593">
        <v>125.7</v>
      </c>
      <c r="E593">
        <v>251.4</v>
      </c>
      <c r="F593" s="1">
        <v>45683</v>
      </c>
      <c r="G593" s="1">
        <v>45684</v>
      </c>
      <c r="H593" t="s">
        <v>12</v>
      </c>
      <c r="I593" t="s">
        <v>36</v>
      </c>
      <c r="J593">
        <v>4</v>
      </c>
      <c r="K593" t="s">
        <v>4</v>
      </c>
      <c r="L593" t="s">
        <v>13</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5">
      <c r="A594" t="s">
        <v>670</v>
      </c>
      <c r="B594" t="s">
        <v>15</v>
      </c>
      <c r="C594">
        <v>2</v>
      </c>
      <c r="D594">
        <v>30.9</v>
      </c>
      <c r="E594">
        <v>61.8</v>
      </c>
      <c r="F594" s="1">
        <v>45683</v>
      </c>
      <c r="G594" s="1">
        <v>45683</v>
      </c>
      <c r="H594" t="s">
        <v>12</v>
      </c>
      <c r="I594" t="s">
        <v>25</v>
      </c>
      <c r="J594">
        <v>5</v>
      </c>
      <c r="K594" t="s">
        <v>4</v>
      </c>
      <c r="L594" t="s">
        <v>132</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5">
      <c r="A595" t="s">
        <v>671</v>
      </c>
      <c r="B595" t="s">
        <v>29</v>
      </c>
      <c r="C595">
        <v>2</v>
      </c>
      <c r="D595">
        <v>18.3</v>
      </c>
      <c r="E595">
        <v>36.6</v>
      </c>
      <c r="F595" s="1">
        <v>45683</v>
      </c>
      <c r="G595" s="1">
        <v>45684</v>
      </c>
      <c r="H595" t="s">
        <v>12</v>
      </c>
      <c r="I595" t="s">
        <v>20</v>
      </c>
      <c r="J595">
        <v>4</v>
      </c>
      <c r="K595" t="s">
        <v>4</v>
      </c>
      <c r="L595" t="s">
        <v>18</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5">
      <c r="A596" t="s">
        <v>672</v>
      </c>
      <c r="B596" t="s">
        <v>17</v>
      </c>
      <c r="C596">
        <v>2</v>
      </c>
      <c r="D596">
        <v>56.5</v>
      </c>
      <c r="E596">
        <v>113</v>
      </c>
      <c r="F596" s="1">
        <v>45683</v>
      </c>
      <c r="G596" s="1">
        <v>45687</v>
      </c>
      <c r="H596" t="s">
        <v>8</v>
      </c>
      <c r="I596" t="s">
        <v>25</v>
      </c>
      <c r="J596">
        <v>5</v>
      </c>
      <c r="K596" t="s">
        <v>4</v>
      </c>
      <c r="L596" t="s">
        <v>18</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5">
      <c r="A597" t="s">
        <v>673</v>
      </c>
      <c r="B597" t="s">
        <v>39</v>
      </c>
      <c r="C597">
        <v>7</v>
      </c>
      <c r="D597">
        <v>29.9</v>
      </c>
      <c r="E597">
        <v>209.29999999999998</v>
      </c>
      <c r="F597" s="1">
        <v>45683</v>
      </c>
      <c r="G597" s="1">
        <v>45685</v>
      </c>
      <c r="H597" t="s">
        <v>8</v>
      </c>
      <c r="I597" t="s">
        <v>55</v>
      </c>
      <c r="J597">
        <v>5</v>
      </c>
      <c r="K597" t="s">
        <v>4</v>
      </c>
      <c r="L597" t="s">
        <v>18</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5">
      <c r="A598" t="s">
        <v>674</v>
      </c>
      <c r="B598" t="s">
        <v>22</v>
      </c>
      <c r="C598">
        <v>2</v>
      </c>
      <c r="D598">
        <v>50.4</v>
      </c>
      <c r="E598">
        <v>100.8</v>
      </c>
      <c r="F598" s="1">
        <v>45683</v>
      </c>
      <c r="G598" s="1">
        <v>45684</v>
      </c>
      <c r="H598" t="s">
        <v>12</v>
      </c>
      <c r="I598" t="s">
        <v>25</v>
      </c>
      <c r="J598">
        <v>4</v>
      </c>
      <c r="K598" t="s">
        <v>4</v>
      </c>
      <c r="L598" t="s">
        <v>18</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5">
      <c r="A599" t="s">
        <v>675</v>
      </c>
      <c r="B599" t="s">
        <v>11</v>
      </c>
      <c r="C599">
        <v>1</v>
      </c>
      <c r="D599">
        <v>85.8</v>
      </c>
      <c r="E599">
        <v>85.8</v>
      </c>
      <c r="F599" s="1">
        <v>45683</v>
      </c>
      <c r="G599" s="1">
        <v>45683</v>
      </c>
      <c r="H599" t="s">
        <v>12</v>
      </c>
      <c r="I599" t="s">
        <v>25</v>
      </c>
      <c r="J599">
        <v>5</v>
      </c>
      <c r="K599" t="s">
        <v>4</v>
      </c>
      <c r="L599" t="s">
        <v>18</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5">
      <c r="A600" t="s">
        <v>676</v>
      </c>
      <c r="B600" t="s">
        <v>17</v>
      </c>
      <c r="C600">
        <v>16</v>
      </c>
      <c r="D600">
        <v>66.599999999999994</v>
      </c>
      <c r="E600">
        <v>1065.5999999999999</v>
      </c>
      <c r="F600" s="1">
        <v>45683</v>
      </c>
      <c r="G600" s="1">
        <v>45685</v>
      </c>
      <c r="H600" t="s">
        <v>8</v>
      </c>
      <c r="I600" t="s">
        <v>20</v>
      </c>
      <c r="J600">
        <v>4</v>
      </c>
      <c r="K600" t="s">
        <v>4</v>
      </c>
      <c r="L600" t="s">
        <v>18</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5">
      <c r="A601" t="s">
        <v>677</v>
      </c>
      <c r="B601" t="s">
        <v>24</v>
      </c>
      <c r="C601">
        <v>4</v>
      </c>
      <c r="D601">
        <v>70.3</v>
      </c>
      <c r="E601">
        <v>281.2</v>
      </c>
      <c r="F601" s="1">
        <v>45683</v>
      </c>
      <c r="G601" s="1">
        <v>45684</v>
      </c>
      <c r="H601" t="s">
        <v>12</v>
      </c>
      <c r="I601" t="s">
        <v>3</v>
      </c>
      <c r="J601">
        <v>3</v>
      </c>
      <c r="K601" t="s">
        <v>4</v>
      </c>
      <c r="L601" t="s">
        <v>18</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5">
      <c r="A602" t="s">
        <v>678</v>
      </c>
      <c r="B602" t="s">
        <v>29</v>
      </c>
      <c r="C602">
        <v>4</v>
      </c>
      <c r="D602">
        <v>31</v>
      </c>
      <c r="E602">
        <v>124</v>
      </c>
      <c r="F602" s="1">
        <v>45683</v>
      </c>
      <c r="G602" s="1">
        <v>45686</v>
      </c>
      <c r="H602" t="s">
        <v>8</v>
      </c>
      <c r="I602" t="s">
        <v>3</v>
      </c>
      <c r="J602">
        <v>5</v>
      </c>
      <c r="K602" t="s">
        <v>4</v>
      </c>
      <c r="L602" t="s">
        <v>18</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5">
      <c r="A603" t="s">
        <v>679</v>
      </c>
      <c r="B603" t="s">
        <v>27</v>
      </c>
      <c r="C603">
        <v>6</v>
      </c>
      <c r="D603">
        <v>81.599999999999994</v>
      </c>
      <c r="E603">
        <v>489.59999999999997</v>
      </c>
      <c r="F603" s="1">
        <v>45683</v>
      </c>
      <c r="G603" s="1">
        <v>45684</v>
      </c>
      <c r="H603" t="s">
        <v>12</v>
      </c>
      <c r="I603" t="s">
        <v>20</v>
      </c>
      <c r="J603">
        <v>3</v>
      </c>
      <c r="K603" t="s">
        <v>4</v>
      </c>
      <c r="L603" t="s">
        <v>349</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5">
      <c r="A604" t="s">
        <v>680</v>
      </c>
      <c r="B604" t="s">
        <v>7</v>
      </c>
      <c r="C604">
        <v>25</v>
      </c>
      <c r="D604">
        <v>58.3</v>
      </c>
      <c r="E604">
        <v>1457.5</v>
      </c>
      <c r="F604" s="1">
        <v>45683</v>
      </c>
      <c r="G604" s="1">
        <v>45684</v>
      </c>
      <c r="H604" t="s">
        <v>12</v>
      </c>
      <c r="I604" t="s">
        <v>3</v>
      </c>
      <c r="J604">
        <v>4</v>
      </c>
      <c r="K604" t="s">
        <v>4</v>
      </c>
      <c r="L604" t="s">
        <v>83</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5">
      <c r="A605" t="s">
        <v>681</v>
      </c>
      <c r="B605" t="s">
        <v>7</v>
      </c>
      <c r="C605">
        <v>4</v>
      </c>
      <c r="D605">
        <v>35.1</v>
      </c>
      <c r="E605">
        <v>140.4</v>
      </c>
      <c r="F605" s="1">
        <v>45683</v>
      </c>
      <c r="G605" s="1">
        <v>45685</v>
      </c>
      <c r="H605" t="s">
        <v>8</v>
      </c>
      <c r="I605" t="s">
        <v>3</v>
      </c>
      <c r="J605">
        <v>5</v>
      </c>
      <c r="K605" t="s">
        <v>4</v>
      </c>
      <c r="L605" t="s">
        <v>47</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5">
      <c r="A606" t="s">
        <v>682</v>
      </c>
      <c r="B606" t="s">
        <v>11</v>
      </c>
      <c r="C606">
        <v>1</v>
      </c>
      <c r="D606">
        <v>80.2</v>
      </c>
      <c r="E606">
        <v>80.2</v>
      </c>
      <c r="F606" s="1">
        <v>45683</v>
      </c>
      <c r="G606" s="1">
        <v>45684</v>
      </c>
      <c r="H606" t="s">
        <v>8</v>
      </c>
      <c r="I606" t="s">
        <v>36</v>
      </c>
      <c r="J606">
        <v>5</v>
      </c>
      <c r="K606" t="s">
        <v>4</v>
      </c>
      <c r="L606" t="s">
        <v>47</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5">
      <c r="A607" t="s">
        <v>683</v>
      </c>
      <c r="B607" t="s">
        <v>66</v>
      </c>
      <c r="C607">
        <v>3</v>
      </c>
      <c r="D607">
        <v>39.200000000000003</v>
      </c>
      <c r="E607">
        <v>117.60000000000001</v>
      </c>
      <c r="F607" s="1">
        <v>45683</v>
      </c>
      <c r="G607" s="1">
        <v>45685</v>
      </c>
      <c r="H607" t="s">
        <v>12</v>
      </c>
      <c r="I607" t="s">
        <v>20</v>
      </c>
      <c r="J607">
        <v>4</v>
      </c>
      <c r="K607" t="s">
        <v>4</v>
      </c>
      <c r="L607" t="s">
        <v>57</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5">
      <c r="A608" t="s">
        <v>684</v>
      </c>
      <c r="B608" t="s">
        <v>1</v>
      </c>
      <c r="C608">
        <v>2</v>
      </c>
      <c r="D608">
        <v>15.4</v>
      </c>
      <c r="E608">
        <v>30.8</v>
      </c>
      <c r="F608" s="1">
        <v>45683</v>
      </c>
      <c r="G608" s="1">
        <v>45683</v>
      </c>
      <c r="H608" t="s">
        <v>12</v>
      </c>
      <c r="I608" t="s">
        <v>36</v>
      </c>
      <c r="J608">
        <v>4</v>
      </c>
      <c r="K608" t="s">
        <v>4</v>
      </c>
      <c r="L608" t="s">
        <v>685</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5">
      <c r="A609" t="s">
        <v>686</v>
      </c>
      <c r="B609" t="s">
        <v>15</v>
      </c>
      <c r="C609">
        <v>3</v>
      </c>
      <c r="D609">
        <v>65.400000000000006</v>
      </c>
      <c r="E609">
        <v>196.20000000000002</v>
      </c>
      <c r="F609" s="1">
        <v>45683</v>
      </c>
      <c r="G609" s="1">
        <v>45686</v>
      </c>
      <c r="H609" t="s">
        <v>8</v>
      </c>
      <c r="I609" t="s">
        <v>36</v>
      </c>
      <c r="J609">
        <v>4</v>
      </c>
      <c r="K609" t="s">
        <v>4</v>
      </c>
      <c r="L609" t="s">
        <v>93</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5">
      <c r="A610" t="s">
        <v>687</v>
      </c>
      <c r="B610" t="s">
        <v>7</v>
      </c>
      <c r="C610">
        <v>8</v>
      </c>
      <c r="D610">
        <v>63.2</v>
      </c>
      <c r="E610">
        <v>505.6</v>
      </c>
      <c r="F610" s="1">
        <v>45683</v>
      </c>
      <c r="G610" s="1">
        <v>45685</v>
      </c>
      <c r="H610" t="s">
        <v>12</v>
      </c>
      <c r="I610" t="s">
        <v>20</v>
      </c>
      <c r="J610">
        <v>4</v>
      </c>
      <c r="K610" t="s">
        <v>4</v>
      </c>
      <c r="L610" t="s">
        <v>95</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5">
      <c r="A611" t="s">
        <v>688</v>
      </c>
      <c r="B611" t="s">
        <v>7</v>
      </c>
      <c r="C611">
        <v>6</v>
      </c>
      <c r="D611">
        <v>35.700000000000003</v>
      </c>
      <c r="E611">
        <v>214.20000000000002</v>
      </c>
      <c r="F611" s="1">
        <v>45683</v>
      </c>
      <c r="G611" s="1">
        <v>45687</v>
      </c>
      <c r="H611" t="s">
        <v>12</v>
      </c>
      <c r="I611" t="s">
        <v>55</v>
      </c>
      <c r="J611">
        <v>3</v>
      </c>
      <c r="K611" t="s">
        <v>4</v>
      </c>
      <c r="L611" t="s">
        <v>95</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5">
      <c r="A612" t="s">
        <v>689</v>
      </c>
      <c r="B612" t="s">
        <v>1</v>
      </c>
      <c r="C612">
        <v>20</v>
      </c>
      <c r="D612">
        <v>26.2</v>
      </c>
      <c r="E612">
        <v>524</v>
      </c>
      <c r="F612" s="1">
        <v>45683</v>
      </c>
      <c r="G612" s="1">
        <v>45684</v>
      </c>
      <c r="H612" t="s">
        <v>12</v>
      </c>
      <c r="I612" t="s">
        <v>36</v>
      </c>
      <c r="J612">
        <v>4</v>
      </c>
      <c r="K612" t="s">
        <v>4</v>
      </c>
      <c r="L612" t="s">
        <v>100</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5">
      <c r="A613" t="s">
        <v>690</v>
      </c>
      <c r="B613" t="s">
        <v>27</v>
      </c>
      <c r="C613">
        <v>2</v>
      </c>
      <c r="D613">
        <v>31</v>
      </c>
      <c r="E613">
        <v>62</v>
      </c>
      <c r="F613" s="1">
        <v>45683</v>
      </c>
      <c r="G613" s="1">
        <v>45684</v>
      </c>
      <c r="H613" t="s">
        <v>12</v>
      </c>
      <c r="I613" t="s">
        <v>3</v>
      </c>
      <c r="J613">
        <v>5</v>
      </c>
      <c r="K613" t="s">
        <v>4</v>
      </c>
      <c r="L613" t="s">
        <v>9</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5">
      <c r="A614" t="s">
        <v>691</v>
      </c>
      <c r="B614" t="s">
        <v>29</v>
      </c>
      <c r="C614">
        <v>4</v>
      </c>
      <c r="D614">
        <v>37.700000000000003</v>
      </c>
      <c r="E614">
        <v>150.80000000000001</v>
      </c>
      <c r="F614" s="1">
        <v>45683</v>
      </c>
      <c r="G614" s="1">
        <v>45684</v>
      </c>
      <c r="H614" t="s">
        <v>12</v>
      </c>
      <c r="I614" t="s">
        <v>20</v>
      </c>
      <c r="J614">
        <v>4</v>
      </c>
      <c r="K614" t="s">
        <v>4</v>
      </c>
      <c r="L614" t="s">
        <v>132</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5">
      <c r="A615" t="s">
        <v>692</v>
      </c>
      <c r="B615" t="s">
        <v>39</v>
      </c>
      <c r="C615">
        <v>34</v>
      </c>
      <c r="D615">
        <v>43.6</v>
      </c>
      <c r="E615">
        <v>1482.4</v>
      </c>
      <c r="F615" s="1">
        <v>45683</v>
      </c>
      <c r="G615" s="1">
        <v>45685</v>
      </c>
      <c r="H615" t="s">
        <v>12</v>
      </c>
      <c r="I615" t="s">
        <v>55</v>
      </c>
      <c r="J615">
        <v>3</v>
      </c>
      <c r="K615" t="s">
        <v>4</v>
      </c>
      <c r="L615" t="s">
        <v>18</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5">
      <c r="A616" t="s">
        <v>693</v>
      </c>
      <c r="B616" t="s">
        <v>31</v>
      </c>
      <c r="C616">
        <v>4</v>
      </c>
      <c r="D616">
        <v>26.5</v>
      </c>
      <c r="E616">
        <v>106</v>
      </c>
      <c r="F616" s="1">
        <v>45683</v>
      </c>
      <c r="G616" s="1">
        <v>45685</v>
      </c>
      <c r="H616" t="s">
        <v>8</v>
      </c>
      <c r="I616" t="s">
        <v>3</v>
      </c>
      <c r="J616">
        <v>2</v>
      </c>
      <c r="K616" t="s">
        <v>4</v>
      </c>
      <c r="L616" t="s">
        <v>18</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5">
      <c r="A617" t="s">
        <v>694</v>
      </c>
      <c r="B617" t="s">
        <v>1</v>
      </c>
      <c r="C617">
        <v>2</v>
      </c>
      <c r="D617">
        <v>34.6</v>
      </c>
      <c r="E617">
        <v>69.2</v>
      </c>
      <c r="F617" s="1">
        <v>45683</v>
      </c>
      <c r="G617" s="1">
        <v>45684</v>
      </c>
      <c r="H617" t="s">
        <v>8</v>
      </c>
      <c r="I617" t="s">
        <v>55</v>
      </c>
      <c r="J617">
        <v>3</v>
      </c>
      <c r="K617" t="s">
        <v>4</v>
      </c>
      <c r="L617" t="s">
        <v>18</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5">
      <c r="A618" t="s">
        <v>695</v>
      </c>
      <c r="B618" t="s">
        <v>29</v>
      </c>
      <c r="C618">
        <v>2</v>
      </c>
      <c r="D618">
        <v>58.2</v>
      </c>
      <c r="E618">
        <v>116.4</v>
      </c>
      <c r="F618" s="1">
        <v>45683</v>
      </c>
      <c r="G618" s="1">
        <v>45684</v>
      </c>
      <c r="H618" t="s">
        <v>8</v>
      </c>
      <c r="I618" t="s">
        <v>25</v>
      </c>
      <c r="J618">
        <v>5</v>
      </c>
      <c r="K618" t="s">
        <v>4</v>
      </c>
      <c r="L618" t="s">
        <v>18</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5">
      <c r="A619" t="s">
        <v>696</v>
      </c>
      <c r="B619" t="s">
        <v>27</v>
      </c>
      <c r="C619">
        <v>1</v>
      </c>
      <c r="D619">
        <v>30.2</v>
      </c>
      <c r="E619">
        <v>30.2</v>
      </c>
      <c r="F619" s="1">
        <v>45684</v>
      </c>
      <c r="G619" s="1">
        <v>45685</v>
      </c>
      <c r="H619" t="s">
        <v>12</v>
      </c>
      <c r="I619" t="s">
        <v>25</v>
      </c>
      <c r="J619">
        <v>3</v>
      </c>
      <c r="K619" t="s">
        <v>4</v>
      </c>
      <c r="L619" t="s">
        <v>18</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5">
      <c r="A620" t="s">
        <v>697</v>
      </c>
      <c r="B620" t="s">
        <v>7</v>
      </c>
      <c r="C620">
        <v>10</v>
      </c>
      <c r="D620">
        <v>53.2</v>
      </c>
      <c r="E620">
        <v>532</v>
      </c>
      <c r="F620" s="1">
        <v>45684</v>
      </c>
      <c r="G620" s="1">
        <v>45685</v>
      </c>
      <c r="H620" t="s">
        <v>8</v>
      </c>
      <c r="I620" t="s">
        <v>3</v>
      </c>
      <c r="J620">
        <v>5</v>
      </c>
      <c r="K620" t="s">
        <v>4</v>
      </c>
      <c r="L620" t="s">
        <v>37</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5">
      <c r="A621" t="s">
        <v>698</v>
      </c>
      <c r="B621" t="s">
        <v>54</v>
      </c>
      <c r="C621">
        <v>6</v>
      </c>
      <c r="D621">
        <v>51.1</v>
      </c>
      <c r="E621">
        <v>306.60000000000002</v>
      </c>
      <c r="F621" s="1">
        <v>45684</v>
      </c>
      <c r="G621" s="1">
        <v>45684</v>
      </c>
      <c r="H621" t="s">
        <v>8</v>
      </c>
      <c r="I621" t="s">
        <v>20</v>
      </c>
      <c r="J621">
        <v>5</v>
      </c>
      <c r="K621" t="s">
        <v>4</v>
      </c>
      <c r="L621" t="s">
        <v>37</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5">
      <c r="A622" t="s">
        <v>699</v>
      </c>
      <c r="B622" t="s">
        <v>7</v>
      </c>
      <c r="C622">
        <v>1</v>
      </c>
      <c r="D622">
        <v>105.4</v>
      </c>
      <c r="E622">
        <v>105.4</v>
      </c>
      <c r="F622" s="1">
        <v>45684</v>
      </c>
      <c r="G622" s="1">
        <v>45688</v>
      </c>
      <c r="H622" t="s">
        <v>12</v>
      </c>
      <c r="I622" t="s">
        <v>20</v>
      </c>
      <c r="J622">
        <v>5</v>
      </c>
      <c r="K622" t="s">
        <v>4</v>
      </c>
      <c r="L622" t="s">
        <v>143</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5">
      <c r="A623" t="s">
        <v>700</v>
      </c>
      <c r="B623" t="s">
        <v>27</v>
      </c>
      <c r="C623">
        <v>1</v>
      </c>
      <c r="D623">
        <v>57.7</v>
      </c>
      <c r="E623">
        <v>57.7</v>
      </c>
      <c r="F623" s="1">
        <v>45684</v>
      </c>
      <c r="G623" s="1">
        <v>45684</v>
      </c>
      <c r="H623" t="s">
        <v>8</v>
      </c>
      <c r="I623" t="s">
        <v>3</v>
      </c>
      <c r="J623">
        <v>2</v>
      </c>
      <c r="K623" t="s">
        <v>4</v>
      </c>
      <c r="L623" t="s">
        <v>47</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5">
      <c r="A624" t="s">
        <v>701</v>
      </c>
      <c r="B624" t="s">
        <v>108</v>
      </c>
      <c r="C624">
        <v>2</v>
      </c>
      <c r="D624">
        <v>72.400000000000006</v>
      </c>
      <c r="E624">
        <v>144.80000000000001</v>
      </c>
      <c r="F624" s="1">
        <v>45684</v>
      </c>
      <c r="G624" s="1">
        <v>45689</v>
      </c>
      <c r="H624" t="s">
        <v>12</v>
      </c>
      <c r="I624" t="s">
        <v>3</v>
      </c>
      <c r="J624">
        <v>4</v>
      </c>
      <c r="K624" t="s">
        <v>4</v>
      </c>
      <c r="L624" t="s">
        <v>88</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5">
      <c r="A625" t="s">
        <v>702</v>
      </c>
      <c r="B625" t="s">
        <v>24</v>
      </c>
      <c r="C625">
        <v>2</v>
      </c>
      <c r="D625">
        <v>62.5</v>
      </c>
      <c r="E625">
        <v>125</v>
      </c>
      <c r="F625" s="1">
        <v>45684</v>
      </c>
      <c r="G625" s="1">
        <v>45685</v>
      </c>
      <c r="H625" t="s">
        <v>2</v>
      </c>
      <c r="I625" t="s">
        <v>3</v>
      </c>
      <c r="J625">
        <v>5</v>
      </c>
      <c r="K625" t="s">
        <v>4</v>
      </c>
      <c r="L625" t="s">
        <v>62</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5">
      <c r="A626" t="s">
        <v>703</v>
      </c>
      <c r="B626" t="s">
        <v>1</v>
      </c>
      <c r="C626">
        <v>22</v>
      </c>
      <c r="D626">
        <v>11.6</v>
      </c>
      <c r="E626">
        <v>255.2</v>
      </c>
      <c r="F626" s="1">
        <v>45684</v>
      </c>
      <c r="G626" s="1">
        <v>45686</v>
      </c>
      <c r="H626" t="s">
        <v>12</v>
      </c>
      <c r="I626" t="s">
        <v>36</v>
      </c>
      <c r="J626">
        <v>5</v>
      </c>
      <c r="K626" t="s">
        <v>4</v>
      </c>
      <c r="L626" t="s">
        <v>93</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5">
      <c r="A627" t="s">
        <v>704</v>
      </c>
      <c r="B627" t="s">
        <v>39</v>
      </c>
      <c r="C627">
        <v>10</v>
      </c>
      <c r="D627">
        <v>39.6</v>
      </c>
      <c r="E627">
        <v>396</v>
      </c>
      <c r="F627" s="1">
        <v>45684</v>
      </c>
      <c r="G627" s="1">
        <v>45686</v>
      </c>
      <c r="H627" t="s">
        <v>12</v>
      </c>
      <c r="I627" t="s">
        <v>25</v>
      </c>
      <c r="J627">
        <v>5</v>
      </c>
      <c r="K627" t="s">
        <v>4</v>
      </c>
      <c r="L627" t="s">
        <v>93</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5">
      <c r="A628" t="s">
        <v>705</v>
      </c>
      <c r="B628" t="s">
        <v>29</v>
      </c>
      <c r="C628">
        <v>2</v>
      </c>
      <c r="D628">
        <v>40.1</v>
      </c>
      <c r="E628">
        <v>80.2</v>
      </c>
      <c r="F628" s="1">
        <v>45684</v>
      </c>
      <c r="G628" s="1">
        <v>45685</v>
      </c>
      <c r="H628" t="s">
        <v>12</v>
      </c>
      <c r="I628" t="s">
        <v>25</v>
      </c>
      <c r="J628">
        <v>4</v>
      </c>
      <c r="K628" t="s">
        <v>4</v>
      </c>
      <c r="L628" t="s">
        <v>93</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5">
      <c r="A629" t="s">
        <v>706</v>
      </c>
      <c r="B629" t="s">
        <v>29</v>
      </c>
      <c r="C629">
        <v>3</v>
      </c>
      <c r="D629">
        <v>18.600000000000001</v>
      </c>
      <c r="E629">
        <v>55.800000000000004</v>
      </c>
      <c r="F629" s="1">
        <v>45684</v>
      </c>
      <c r="G629" s="1">
        <v>45685</v>
      </c>
      <c r="H629" t="s">
        <v>12</v>
      </c>
      <c r="I629" t="s">
        <v>25</v>
      </c>
      <c r="J629">
        <v>4</v>
      </c>
      <c r="K629" t="s">
        <v>4</v>
      </c>
      <c r="L629" t="s">
        <v>100</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5">
      <c r="A630" t="s">
        <v>707</v>
      </c>
      <c r="B630" t="s">
        <v>17</v>
      </c>
      <c r="C630">
        <v>1</v>
      </c>
      <c r="D630">
        <v>58.8</v>
      </c>
      <c r="E630">
        <v>58.8</v>
      </c>
      <c r="F630" s="1">
        <v>45684</v>
      </c>
      <c r="G630" s="1">
        <v>45686</v>
      </c>
      <c r="H630" t="s">
        <v>12</v>
      </c>
      <c r="I630" t="s">
        <v>3</v>
      </c>
      <c r="J630">
        <v>3</v>
      </c>
      <c r="K630" t="s">
        <v>4</v>
      </c>
      <c r="L630" t="s">
        <v>100</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5">
      <c r="A631" t="s">
        <v>708</v>
      </c>
      <c r="B631" t="s">
        <v>29</v>
      </c>
      <c r="C631">
        <v>2</v>
      </c>
      <c r="D631">
        <v>22.1</v>
      </c>
      <c r="E631">
        <v>44.2</v>
      </c>
      <c r="F631" s="1">
        <v>45684</v>
      </c>
      <c r="G631" s="1">
        <v>45687</v>
      </c>
      <c r="H631" t="s">
        <v>8</v>
      </c>
      <c r="I631" t="s">
        <v>20</v>
      </c>
      <c r="J631">
        <v>5</v>
      </c>
      <c r="K631" t="s">
        <v>4</v>
      </c>
      <c r="L631" t="s">
        <v>100</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5">
      <c r="A632" t="s">
        <v>709</v>
      </c>
      <c r="B632" t="s">
        <v>11</v>
      </c>
      <c r="C632">
        <v>1</v>
      </c>
      <c r="D632">
        <v>114.9</v>
      </c>
      <c r="E632">
        <v>114.9</v>
      </c>
      <c r="F632" s="1">
        <v>45685</v>
      </c>
      <c r="G632" s="1">
        <v>45686</v>
      </c>
      <c r="H632" t="s">
        <v>12</v>
      </c>
      <c r="I632" t="s">
        <v>20</v>
      </c>
      <c r="J632">
        <v>3</v>
      </c>
      <c r="K632" t="s">
        <v>4</v>
      </c>
      <c r="L632" t="s">
        <v>132</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5">
      <c r="A633" t="s">
        <v>710</v>
      </c>
      <c r="B633" t="s">
        <v>31</v>
      </c>
      <c r="C633">
        <v>5</v>
      </c>
      <c r="D633">
        <v>75.8</v>
      </c>
      <c r="E633">
        <v>379</v>
      </c>
      <c r="F633" s="1">
        <v>45685</v>
      </c>
      <c r="G633" s="1">
        <v>45686</v>
      </c>
      <c r="H633" t="s">
        <v>8</v>
      </c>
      <c r="I633" t="s">
        <v>3</v>
      </c>
      <c r="J633">
        <v>5</v>
      </c>
      <c r="K633" t="s">
        <v>4</v>
      </c>
      <c r="L633" t="s">
        <v>18</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5">
      <c r="A634" t="s">
        <v>711</v>
      </c>
      <c r="B634" t="s">
        <v>66</v>
      </c>
      <c r="C634">
        <v>5</v>
      </c>
      <c r="D634">
        <v>20.6</v>
      </c>
      <c r="E634">
        <v>103</v>
      </c>
      <c r="F634" s="1">
        <v>45685</v>
      </c>
      <c r="G634" s="1">
        <v>45686</v>
      </c>
      <c r="H634" t="s">
        <v>8</v>
      </c>
      <c r="I634" t="s">
        <v>25</v>
      </c>
      <c r="J634">
        <v>5</v>
      </c>
      <c r="K634" t="s">
        <v>4</v>
      </c>
      <c r="L634" t="s">
        <v>18</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5">
      <c r="A635" t="s">
        <v>712</v>
      </c>
      <c r="B635" t="s">
        <v>120</v>
      </c>
      <c r="C635">
        <v>3</v>
      </c>
      <c r="D635">
        <v>67.900000000000006</v>
      </c>
      <c r="E635">
        <v>203.70000000000002</v>
      </c>
      <c r="F635" s="1">
        <v>45685</v>
      </c>
      <c r="G635" s="1">
        <v>45686</v>
      </c>
      <c r="H635" t="s">
        <v>12</v>
      </c>
      <c r="I635" t="s">
        <v>20</v>
      </c>
      <c r="J635">
        <v>3</v>
      </c>
      <c r="K635" t="s">
        <v>4</v>
      </c>
      <c r="L635" t="s">
        <v>18</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5">
      <c r="A636" t="s">
        <v>713</v>
      </c>
      <c r="B636" t="s">
        <v>1</v>
      </c>
      <c r="C636">
        <v>5</v>
      </c>
      <c r="D636">
        <v>27</v>
      </c>
      <c r="E636">
        <v>135</v>
      </c>
      <c r="F636" s="1">
        <v>45685</v>
      </c>
      <c r="G636" s="1">
        <v>45692</v>
      </c>
      <c r="H636" t="s">
        <v>12</v>
      </c>
      <c r="I636" t="s">
        <v>3</v>
      </c>
      <c r="J636">
        <v>5</v>
      </c>
      <c r="K636" t="s">
        <v>4</v>
      </c>
      <c r="L636" t="s">
        <v>18</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5">
      <c r="A637" t="s">
        <v>714</v>
      </c>
      <c r="B637" t="s">
        <v>61</v>
      </c>
      <c r="C637">
        <v>1</v>
      </c>
      <c r="D637">
        <v>50.6</v>
      </c>
      <c r="E637">
        <v>50.6</v>
      </c>
      <c r="F637" s="1">
        <v>45685</v>
      </c>
      <c r="G637" s="1">
        <v>45685</v>
      </c>
      <c r="H637" t="s">
        <v>8</v>
      </c>
      <c r="I637" t="s">
        <v>3</v>
      </c>
      <c r="J637">
        <v>3</v>
      </c>
      <c r="K637" t="s">
        <v>4</v>
      </c>
      <c r="L637" t="s">
        <v>18</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5">
      <c r="A638" t="s">
        <v>715</v>
      </c>
      <c r="B638" t="s">
        <v>17</v>
      </c>
      <c r="C638">
        <v>5</v>
      </c>
      <c r="D638">
        <v>22.1</v>
      </c>
      <c r="E638">
        <v>110.5</v>
      </c>
      <c r="F638" s="1">
        <v>45685</v>
      </c>
      <c r="G638" s="1">
        <v>45690</v>
      </c>
      <c r="H638" t="s">
        <v>8</v>
      </c>
      <c r="I638" t="s">
        <v>3</v>
      </c>
      <c r="J638">
        <v>4</v>
      </c>
      <c r="K638" t="s">
        <v>4</v>
      </c>
      <c r="L638" t="s">
        <v>18</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5">
      <c r="A639" t="s">
        <v>716</v>
      </c>
      <c r="B639" t="s">
        <v>29</v>
      </c>
      <c r="C639">
        <v>3</v>
      </c>
      <c r="D639">
        <v>42.9</v>
      </c>
      <c r="E639">
        <v>128.69999999999999</v>
      </c>
      <c r="F639" s="1">
        <v>45685</v>
      </c>
      <c r="G639" s="1">
        <v>45687</v>
      </c>
      <c r="H639" t="s">
        <v>12</v>
      </c>
      <c r="I639" t="s">
        <v>3</v>
      </c>
      <c r="J639">
        <v>4</v>
      </c>
      <c r="K639" t="s">
        <v>4</v>
      </c>
      <c r="L639" t="s">
        <v>18</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5">
      <c r="A640" t="s">
        <v>717</v>
      </c>
      <c r="B640" t="s">
        <v>7</v>
      </c>
      <c r="C640">
        <v>11</v>
      </c>
      <c r="D640">
        <v>62.4</v>
      </c>
      <c r="E640">
        <v>686.4</v>
      </c>
      <c r="F640" s="1">
        <v>45685</v>
      </c>
      <c r="G640" s="1">
        <v>45687</v>
      </c>
      <c r="H640" t="s">
        <v>12</v>
      </c>
      <c r="I640" t="s">
        <v>25</v>
      </c>
      <c r="J640">
        <v>4</v>
      </c>
      <c r="K640" t="s">
        <v>4</v>
      </c>
      <c r="L640" t="s">
        <v>18</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5">
      <c r="A641" t="s">
        <v>718</v>
      </c>
      <c r="B641" t="s">
        <v>61</v>
      </c>
      <c r="C641">
        <v>9</v>
      </c>
      <c r="D641">
        <v>36.4</v>
      </c>
      <c r="E641">
        <v>327.59999999999997</v>
      </c>
      <c r="F641" s="1">
        <v>45685</v>
      </c>
      <c r="G641" s="1">
        <v>45687</v>
      </c>
      <c r="H641" t="s">
        <v>12</v>
      </c>
      <c r="I641" t="s">
        <v>3</v>
      </c>
      <c r="J641">
        <v>5</v>
      </c>
      <c r="K641" t="s">
        <v>4</v>
      </c>
      <c r="L641" t="s">
        <v>18</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5">
      <c r="A642" t="s">
        <v>719</v>
      </c>
      <c r="B642" t="s">
        <v>1</v>
      </c>
      <c r="C642">
        <v>2</v>
      </c>
      <c r="D642">
        <v>22.5</v>
      </c>
      <c r="E642">
        <v>45</v>
      </c>
      <c r="F642" s="1">
        <v>45685</v>
      </c>
      <c r="G642" s="1">
        <v>45688</v>
      </c>
      <c r="H642" t="s">
        <v>8</v>
      </c>
      <c r="I642" t="s">
        <v>3</v>
      </c>
      <c r="J642">
        <v>4</v>
      </c>
      <c r="K642" t="s">
        <v>4</v>
      </c>
      <c r="L642" t="s">
        <v>18</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5">
      <c r="A643" t="s">
        <v>720</v>
      </c>
      <c r="B643" t="s">
        <v>24</v>
      </c>
      <c r="C643">
        <v>4</v>
      </c>
      <c r="D643">
        <v>70.8</v>
      </c>
      <c r="E643">
        <v>283.2</v>
      </c>
      <c r="F643" s="1">
        <v>45685</v>
      </c>
      <c r="G643" s="1">
        <v>45687</v>
      </c>
      <c r="H643" t="s">
        <v>12</v>
      </c>
      <c r="I643" t="s">
        <v>55</v>
      </c>
      <c r="J643">
        <v>4</v>
      </c>
      <c r="K643" t="s">
        <v>4</v>
      </c>
      <c r="L643" t="s">
        <v>18</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5">
      <c r="A644" t="s">
        <v>721</v>
      </c>
      <c r="B644" t="s">
        <v>24</v>
      </c>
      <c r="C644">
        <v>5</v>
      </c>
      <c r="D644">
        <v>56.6</v>
      </c>
      <c r="E644">
        <v>283</v>
      </c>
      <c r="F644" s="1">
        <v>45685</v>
      </c>
      <c r="G644" s="1">
        <v>45687</v>
      </c>
      <c r="H644" t="s">
        <v>8</v>
      </c>
      <c r="I644" t="s">
        <v>3</v>
      </c>
      <c r="J644">
        <v>3</v>
      </c>
      <c r="K644" t="s">
        <v>4</v>
      </c>
      <c r="L644" t="s">
        <v>34</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5">
      <c r="A645" t="s">
        <v>722</v>
      </c>
      <c r="B645" t="s">
        <v>24</v>
      </c>
      <c r="C645">
        <v>2</v>
      </c>
      <c r="D645">
        <v>47.9</v>
      </c>
      <c r="E645">
        <v>95.8</v>
      </c>
      <c r="F645" s="1">
        <v>45685</v>
      </c>
      <c r="G645" s="1">
        <v>45686</v>
      </c>
      <c r="H645" t="s">
        <v>12</v>
      </c>
      <c r="I645" t="s">
        <v>3</v>
      </c>
      <c r="J645">
        <v>4</v>
      </c>
      <c r="K645" t="s">
        <v>4</v>
      </c>
      <c r="L645" t="s">
        <v>40</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5">
      <c r="A646" t="s">
        <v>723</v>
      </c>
      <c r="B646" t="s">
        <v>24</v>
      </c>
      <c r="C646">
        <v>8</v>
      </c>
      <c r="D646">
        <v>78.400000000000006</v>
      </c>
      <c r="E646">
        <v>627.20000000000005</v>
      </c>
      <c r="F646" s="1">
        <v>45685</v>
      </c>
      <c r="G646" s="1">
        <v>45687</v>
      </c>
      <c r="H646" t="s">
        <v>12</v>
      </c>
      <c r="I646" t="s">
        <v>20</v>
      </c>
      <c r="J646">
        <v>4</v>
      </c>
      <c r="K646" t="s">
        <v>4</v>
      </c>
      <c r="L646" t="s">
        <v>40</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5">
      <c r="A647" t="s">
        <v>724</v>
      </c>
      <c r="B647" t="s">
        <v>11</v>
      </c>
      <c r="C647">
        <v>14</v>
      </c>
      <c r="D647">
        <v>122.1</v>
      </c>
      <c r="E647">
        <v>1709.3999999999999</v>
      </c>
      <c r="F647" s="1">
        <v>45685</v>
      </c>
      <c r="G647" s="1">
        <v>45690</v>
      </c>
      <c r="H647" t="s">
        <v>12</v>
      </c>
      <c r="I647" t="s">
        <v>3</v>
      </c>
      <c r="J647">
        <v>5</v>
      </c>
      <c r="K647" t="s">
        <v>4</v>
      </c>
      <c r="L647" t="s">
        <v>40</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5">
      <c r="A648" t="s">
        <v>725</v>
      </c>
      <c r="B648" t="s">
        <v>11</v>
      </c>
      <c r="C648">
        <v>2</v>
      </c>
      <c r="D648">
        <v>83.7</v>
      </c>
      <c r="E648">
        <v>167.4</v>
      </c>
      <c r="F648" s="1">
        <v>45686</v>
      </c>
      <c r="G648" s="1">
        <v>45686</v>
      </c>
      <c r="H648" t="s">
        <v>2</v>
      </c>
      <c r="I648" t="s">
        <v>20</v>
      </c>
      <c r="J648">
        <v>5</v>
      </c>
      <c r="K648" t="s">
        <v>4</v>
      </c>
      <c r="L648" t="s">
        <v>44</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5">
      <c r="A649" t="s">
        <v>726</v>
      </c>
      <c r="B649" t="s">
        <v>15</v>
      </c>
      <c r="C649">
        <v>4</v>
      </c>
      <c r="D649">
        <v>97.9</v>
      </c>
      <c r="E649">
        <v>391.6</v>
      </c>
      <c r="F649" s="1">
        <v>45686</v>
      </c>
      <c r="G649" s="1">
        <v>45690</v>
      </c>
      <c r="H649" t="s">
        <v>12</v>
      </c>
      <c r="I649" t="s">
        <v>36</v>
      </c>
      <c r="J649">
        <v>5</v>
      </c>
      <c r="K649" t="s">
        <v>4</v>
      </c>
      <c r="L649" t="s">
        <v>44</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5">
      <c r="A650" t="s">
        <v>727</v>
      </c>
      <c r="B650" t="s">
        <v>66</v>
      </c>
      <c r="C650">
        <v>1</v>
      </c>
      <c r="D650">
        <v>15</v>
      </c>
      <c r="E650">
        <v>15</v>
      </c>
      <c r="F650" s="1">
        <v>45686</v>
      </c>
      <c r="G650" s="1">
        <v>45691</v>
      </c>
      <c r="H650" t="s">
        <v>12</v>
      </c>
      <c r="I650" t="s">
        <v>36</v>
      </c>
      <c r="J650">
        <v>4</v>
      </c>
      <c r="K650" t="s">
        <v>4</v>
      </c>
      <c r="L650" t="s">
        <v>47</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5">
      <c r="A651" t="s">
        <v>728</v>
      </c>
      <c r="B651" t="s">
        <v>54</v>
      </c>
      <c r="C651">
        <v>3</v>
      </c>
      <c r="D651">
        <v>94.6</v>
      </c>
      <c r="E651">
        <v>283.79999999999995</v>
      </c>
      <c r="F651" s="1">
        <v>45686</v>
      </c>
      <c r="G651" s="1">
        <v>45687</v>
      </c>
      <c r="H651" t="s">
        <v>8</v>
      </c>
      <c r="I651" t="s">
        <v>25</v>
      </c>
      <c r="J651">
        <v>3</v>
      </c>
      <c r="K651" t="s">
        <v>4</v>
      </c>
      <c r="L651" t="s">
        <v>47</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5">
      <c r="A652" t="s">
        <v>729</v>
      </c>
      <c r="B652" t="s">
        <v>1</v>
      </c>
      <c r="C652">
        <v>6</v>
      </c>
      <c r="D652">
        <v>19.7</v>
      </c>
      <c r="E652">
        <v>118.19999999999999</v>
      </c>
      <c r="F652" s="1">
        <v>45686</v>
      </c>
      <c r="G652" s="1">
        <v>45697</v>
      </c>
      <c r="H652" t="s">
        <v>12</v>
      </c>
      <c r="I652" t="s">
        <v>3</v>
      </c>
      <c r="J652">
        <v>5</v>
      </c>
      <c r="K652" t="s">
        <v>4</v>
      </c>
      <c r="L652" t="s">
        <v>47</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5">
      <c r="A653" t="s">
        <v>730</v>
      </c>
      <c r="B653" t="s">
        <v>27</v>
      </c>
      <c r="C653">
        <v>1</v>
      </c>
      <c r="D653">
        <v>46.7</v>
      </c>
      <c r="E653">
        <v>46.7</v>
      </c>
      <c r="F653" s="1">
        <v>45686</v>
      </c>
      <c r="G653" s="1">
        <v>45689</v>
      </c>
      <c r="H653" t="s">
        <v>12</v>
      </c>
      <c r="I653" t="s">
        <v>25</v>
      </c>
      <c r="J653">
        <v>4</v>
      </c>
      <c r="K653" t="s">
        <v>4</v>
      </c>
      <c r="L653" t="s">
        <v>88</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5">
      <c r="A654" t="s">
        <v>731</v>
      </c>
      <c r="B654" t="s">
        <v>7</v>
      </c>
      <c r="C654">
        <v>4</v>
      </c>
      <c r="D654">
        <v>43</v>
      </c>
      <c r="E654">
        <v>172</v>
      </c>
      <c r="F654" s="1">
        <v>45686</v>
      </c>
      <c r="G654" s="1">
        <v>45687</v>
      </c>
      <c r="H654" t="s">
        <v>8</v>
      </c>
      <c r="I654" t="s">
        <v>25</v>
      </c>
      <c r="J654">
        <v>5</v>
      </c>
      <c r="K654" t="s">
        <v>4</v>
      </c>
      <c r="L654" t="s">
        <v>88</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5">
      <c r="A655" t="s">
        <v>732</v>
      </c>
      <c r="B655" t="s">
        <v>24</v>
      </c>
      <c r="C655">
        <v>3</v>
      </c>
      <c r="D655">
        <v>68.2</v>
      </c>
      <c r="E655">
        <v>204.60000000000002</v>
      </c>
      <c r="F655" s="1">
        <v>45686</v>
      </c>
      <c r="G655" s="1">
        <v>45692</v>
      </c>
      <c r="H655" t="s">
        <v>12</v>
      </c>
      <c r="I655" t="s">
        <v>3</v>
      </c>
      <c r="J655">
        <v>4</v>
      </c>
      <c r="K655" t="s">
        <v>4</v>
      </c>
      <c r="L655" t="s">
        <v>57</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5">
      <c r="A656" t="s">
        <v>733</v>
      </c>
      <c r="B656" t="s">
        <v>39</v>
      </c>
      <c r="C656">
        <v>10</v>
      </c>
      <c r="D656">
        <v>24.3</v>
      </c>
      <c r="E656">
        <v>243</v>
      </c>
      <c r="F656" s="1">
        <v>45686</v>
      </c>
      <c r="G656" s="1">
        <v>45687</v>
      </c>
      <c r="H656" t="s">
        <v>8</v>
      </c>
      <c r="I656" t="s">
        <v>3</v>
      </c>
      <c r="J656">
        <v>5</v>
      </c>
      <c r="K656" t="s">
        <v>4</v>
      </c>
      <c r="L656" t="s">
        <v>59</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5">
      <c r="A657" t="s">
        <v>734</v>
      </c>
      <c r="B657" t="s">
        <v>27</v>
      </c>
      <c r="C657">
        <v>2</v>
      </c>
      <c r="D657">
        <v>86.8</v>
      </c>
      <c r="E657">
        <v>173.6</v>
      </c>
      <c r="F657" s="1">
        <v>45686</v>
      </c>
      <c r="G657" s="1">
        <v>45690</v>
      </c>
      <c r="H657" t="s">
        <v>12</v>
      </c>
      <c r="I657" t="s">
        <v>55</v>
      </c>
      <c r="J657">
        <v>5</v>
      </c>
      <c r="K657" t="s">
        <v>4</v>
      </c>
      <c r="L657" t="s">
        <v>62</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5">
      <c r="A658" t="s">
        <v>735</v>
      </c>
      <c r="B658" t="s">
        <v>1</v>
      </c>
      <c r="C658">
        <v>2</v>
      </c>
      <c r="D658">
        <v>15.8</v>
      </c>
      <c r="E658">
        <v>31.6</v>
      </c>
      <c r="F658" s="1">
        <v>45686</v>
      </c>
      <c r="G658" s="1">
        <v>45688</v>
      </c>
      <c r="H658" t="s">
        <v>8</v>
      </c>
      <c r="I658" t="s">
        <v>20</v>
      </c>
      <c r="J658">
        <v>4</v>
      </c>
      <c r="K658" t="s">
        <v>4</v>
      </c>
      <c r="L658" t="s">
        <v>62</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5">
      <c r="A659" t="s">
        <v>736</v>
      </c>
      <c r="B659" t="s">
        <v>11</v>
      </c>
      <c r="C659">
        <v>4</v>
      </c>
      <c r="D659">
        <v>61.6</v>
      </c>
      <c r="E659">
        <v>246.4</v>
      </c>
      <c r="F659" s="1">
        <v>45686</v>
      </c>
      <c r="G659" s="1">
        <v>45687</v>
      </c>
      <c r="H659" t="s">
        <v>8</v>
      </c>
      <c r="I659" t="s">
        <v>25</v>
      </c>
      <c r="J659">
        <v>4</v>
      </c>
      <c r="K659" t="s">
        <v>4</v>
      </c>
      <c r="L659" t="s">
        <v>62</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5">
      <c r="A660" t="s">
        <v>737</v>
      </c>
      <c r="B660" t="s">
        <v>24</v>
      </c>
      <c r="C660">
        <v>3</v>
      </c>
      <c r="D660">
        <v>48.7</v>
      </c>
      <c r="E660">
        <v>146.10000000000002</v>
      </c>
      <c r="F660" s="1">
        <v>45686</v>
      </c>
      <c r="G660" s="1">
        <v>45692</v>
      </c>
      <c r="H660" t="s">
        <v>12</v>
      </c>
      <c r="I660" t="s">
        <v>20</v>
      </c>
      <c r="J660">
        <v>5</v>
      </c>
      <c r="K660" t="s">
        <v>4</v>
      </c>
      <c r="L660" t="s">
        <v>593</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5">
      <c r="A661" t="s">
        <v>738</v>
      </c>
      <c r="B661" t="s">
        <v>29</v>
      </c>
      <c r="C661">
        <v>4</v>
      </c>
      <c r="D661">
        <v>24.3</v>
      </c>
      <c r="E661">
        <v>97.2</v>
      </c>
      <c r="F661" s="1">
        <v>45686</v>
      </c>
      <c r="G661" s="1">
        <v>45688</v>
      </c>
      <c r="H661" t="s">
        <v>12</v>
      </c>
      <c r="I661" t="s">
        <v>20</v>
      </c>
      <c r="J661">
        <v>5</v>
      </c>
      <c r="K661" t="s">
        <v>4</v>
      </c>
      <c r="L661" t="s">
        <v>100</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5">
      <c r="A662" t="s">
        <v>739</v>
      </c>
      <c r="B662" t="s">
        <v>11</v>
      </c>
      <c r="C662">
        <v>2</v>
      </c>
      <c r="D662">
        <v>130.69999999999999</v>
      </c>
      <c r="E662">
        <v>261.39999999999998</v>
      </c>
      <c r="F662" s="1">
        <v>45686</v>
      </c>
      <c r="G662" s="1">
        <v>45687</v>
      </c>
      <c r="H662" t="s">
        <v>12</v>
      </c>
      <c r="I662" t="s">
        <v>25</v>
      </c>
      <c r="J662">
        <v>4</v>
      </c>
      <c r="K662" t="s">
        <v>4</v>
      </c>
      <c r="L662" t="s">
        <v>572</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5">
      <c r="A663" t="s">
        <v>740</v>
      </c>
      <c r="B663" t="s">
        <v>39</v>
      </c>
      <c r="C663">
        <v>1</v>
      </c>
      <c r="D663">
        <v>26</v>
      </c>
      <c r="E663">
        <v>26</v>
      </c>
      <c r="F663" s="1">
        <v>45686</v>
      </c>
      <c r="G663" s="1">
        <v>45688</v>
      </c>
      <c r="H663" t="s">
        <v>8</v>
      </c>
      <c r="I663" t="s">
        <v>3</v>
      </c>
      <c r="J663">
        <v>4</v>
      </c>
      <c r="K663" t="s">
        <v>4</v>
      </c>
      <c r="L663" t="s">
        <v>18</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5">
      <c r="A664" t="s">
        <v>741</v>
      </c>
      <c r="B664" t="s">
        <v>11</v>
      </c>
      <c r="C664">
        <v>5</v>
      </c>
      <c r="D664">
        <v>94.4</v>
      </c>
      <c r="E664">
        <v>472</v>
      </c>
      <c r="F664" s="1">
        <v>45686</v>
      </c>
      <c r="G664" s="1">
        <v>45687</v>
      </c>
      <c r="H664" t="s">
        <v>12</v>
      </c>
      <c r="I664" t="s">
        <v>3</v>
      </c>
      <c r="J664">
        <v>4</v>
      </c>
      <c r="K664" t="s">
        <v>4</v>
      </c>
      <c r="L664" t="s">
        <v>18</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5">
      <c r="A665" t="s">
        <v>742</v>
      </c>
      <c r="B665" t="s">
        <v>1</v>
      </c>
      <c r="C665">
        <v>6</v>
      </c>
      <c r="D665">
        <v>23.7</v>
      </c>
      <c r="E665">
        <v>142.19999999999999</v>
      </c>
      <c r="F665" s="1">
        <v>45686</v>
      </c>
      <c r="G665" s="1">
        <v>45688</v>
      </c>
      <c r="H665" t="s">
        <v>8</v>
      </c>
      <c r="I665" t="s">
        <v>25</v>
      </c>
      <c r="J665">
        <v>5</v>
      </c>
      <c r="K665" t="s">
        <v>4</v>
      </c>
      <c r="L665" t="s">
        <v>18</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5">
      <c r="A666" t="s">
        <v>743</v>
      </c>
      <c r="B666" t="s">
        <v>31</v>
      </c>
      <c r="C666">
        <v>12</v>
      </c>
      <c r="D666">
        <v>37.4</v>
      </c>
      <c r="E666">
        <v>448.79999999999995</v>
      </c>
      <c r="F666" s="1">
        <v>45686</v>
      </c>
      <c r="G666" s="1">
        <v>45688</v>
      </c>
      <c r="H666" t="s">
        <v>8</v>
      </c>
      <c r="I666" t="s">
        <v>25</v>
      </c>
      <c r="J666">
        <v>4</v>
      </c>
      <c r="K666" t="s">
        <v>4</v>
      </c>
      <c r="L666" t="s">
        <v>18</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5">
      <c r="A667" t="s">
        <v>744</v>
      </c>
      <c r="B667" t="s">
        <v>7</v>
      </c>
      <c r="C667">
        <v>36</v>
      </c>
      <c r="D667">
        <v>55.2</v>
      </c>
      <c r="E667">
        <v>1987.2</v>
      </c>
      <c r="F667" s="1">
        <v>45686</v>
      </c>
      <c r="G667" s="1">
        <v>45686</v>
      </c>
      <c r="H667" t="s">
        <v>12</v>
      </c>
      <c r="I667" t="s">
        <v>36</v>
      </c>
      <c r="J667">
        <v>3</v>
      </c>
      <c r="K667" t="s">
        <v>4</v>
      </c>
      <c r="L667" t="s">
        <v>18</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5">
      <c r="A668" t="s">
        <v>745</v>
      </c>
      <c r="B668" t="s">
        <v>11</v>
      </c>
      <c r="C668">
        <v>9</v>
      </c>
      <c r="D668">
        <v>57.1</v>
      </c>
      <c r="E668">
        <v>513.9</v>
      </c>
      <c r="F668" s="1">
        <v>45686</v>
      </c>
      <c r="G668" s="1">
        <v>45688</v>
      </c>
      <c r="H668" t="s">
        <v>8</v>
      </c>
      <c r="I668" t="s">
        <v>3</v>
      </c>
      <c r="J668">
        <v>5</v>
      </c>
      <c r="K668" t="s">
        <v>4</v>
      </c>
      <c r="L668" t="s">
        <v>18</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5">
      <c r="A669" t="s">
        <v>746</v>
      </c>
      <c r="B669" t="s">
        <v>54</v>
      </c>
      <c r="C669">
        <v>1</v>
      </c>
      <c r="D669">
        <v>55.3</v>
      </c>
      <c r="E669">
        <v>55.3</v>
      </c>
      <c r="F669" s="1">
        <v>45686</v>
      </c>
      <c r="G669" s="1">
        <v>45687</v>
      </c>
      <c r="H669" t="s">
        <v>12</v>
      </c>
      <c r="I669" t="s">
        <v>25</v>
      </c>
      <c r="J669">
        <v>5</v>
      </c>
      <c r="K669" t="s">
        <v>4</v>
      </c>
      <c r="L669" t="s">
        <v>18</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5">
      <c r="A670" t="s">
        <v>747</v>
      </c>
      <c r="B670" t="s">
        <v>108</v>
      </c>
      <c r="C670">
        <v>7</v>
      </c>
      <c r="D670">
        <v>23.9</v>
      </c>
      <c r="E670">
        <v>167.29999999999998</v>
      </c>
      <c r="F670" s="1">
        <v>45686</v>
      </c>
      <c r="G670" s="1">
        <v>45687</v>
      </c>
      <c r="H670" t="s">
        <v>12</v>
      </c>
      <c r="I670" t="s">
        <v>55</v>
      </c>
      <c r="J670">
        <v>3</v>
      </c>
      <c r="K670" t="s">
        <v>4</v>
      </c>
      <c r="L670" t="s">
        <v>18</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5">
      <c r="A671" t="s">
        <v>748</v>
      </c>
      <c r="B671" t="s">
        <v>1</v>
      </c>
      <c r="C671">
        <v>1</v>
      </c>
      <c r="D671">
        <v>34.1</v>
      </c>
      <c r="E671">
        <v>34.1</v>
      </c>
      <c r="F671" s="1">
        <v>45686</v>
      </c>
      <c r="G671" s="1">
        <v>45693</v>
      </c>
      <c r="H671" t="s">
        <v>12</v>
      </c>
      <c r="I671" t="s">
        <v>25</v>
      </c>
      <c r="J671">
        <v>4</v>
      </c>
      <c r="K671" t="s">
        <v>4</v>
      </c>
      <c r="L671" t="s">
        <v>18</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5">
      <c r="A672" t="s">
        <v>749</v>
      </c>
      <c r="B672" t="s">
        <v>54</v>
      </c>
      <c r="C672">
        <v>4</v>
      </c>
      <c r="D672">
        <v>38.5</v>
      </c>
      <c r="E672">
        <v>154</v>
      </c>
      <c r="F672" s="1">
        <v>45686</v>
      </c>
      <c r="G672" s="1">
        <v>45697</v>
      </c>
      <c r="H672" t="s">
        <v>12</v>
      </c>
      <c r="I672" t="s">
        <v>3</v>
      </c>
      <c r="J672">
        <v>4</v>
      </c>
      <c r="K672" t="s">
        <v>4</v>
      </c>
      <c r="L672" t="s">
        <v>18</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5">
      <c r="A673" t="s">
        <v>750</v>
      </c>
      <c r="B673" t="s">
        <v>27</v>
      </c>
      <c r="C673">
        <v>2</v>
      </c>
      <c r="D673">
        <v>105</v>
      </c>
      <c r="E673">
        <v>210</v>
      </c>
      <c r="F673" s="1">
        <v>45686</v>
      </c>
      <c r="G673" s="1">
        <v>45692</v>
      </c>
      <c r="H673" t="s">
        <v>12</v>
      </c>
      <c r="I673" t="s">
        <v>3</v>
      </c>
      <c r="J673">
        <v>5</v>
      </c>
      <c r="K673" t="s">
        <v>4</v>
      </c>
      <c r="L673" t="s">
        <v>18</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5">
      <c r="A674" t="s">
        <v>751</v>
      </c>
      <c r="B674" t="s">
        <v>29</v>
      </c>
      <c r="C674">
        <v>5</v>
      </c>
      <c r="D674">
        <v>45.2</v>
      </c>
      <c r="E674">
        <v>226</v>
      </c>
      <c r="F674" s="1">
        <v>45686</v>
      </c>
      <c r="G674" s="1">
        <v>45688</v>
      </c>
      <c r="H674" t="s">
        <v>12</v>
      </c>
      <c r="I674" t="s">
        <v>3</v>
      </c>
      <c r="J674">
        <v>5</v>
      </c>
      <c r="K674" t="s">
        <v>4</v>
      </c>
      <c r="L674" t="s">
        <v>18</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5">
      <c r="A675" t="s">
        <v>752</v>
      </c>
      <c r="B675" t="s">
        <v>120</v>
      </c>
      <c r="C675">
        <v>3</v>
      </c>
      <c r="D675">
        <v>24.8</v>
      </c>
      <c r="E675">
        <v>74.400000000000006</v>
      </c>
      <c r="F675" s="1">
        <v>45686</v>
      </c>
      <c r="G675" s="1">
        <v>45686</v>
      </c>
      <c r="H675" t="s">
        <v>2</v>
      </c>
      <c r="I675" t="s">
        <v>3</v>
      </c>
      <c r="J675">
        <v>3</v>
      </c>
      <c r="K675" t="s">
        <v>4</v>
      </c>
      <c r="L675" t="s">
        <v>18</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5">
      <c r="A676" t="s">
        <v>753</v>
      </c>
      <c r="B676" t="s">
        <v>52</v>
      </c>
      <c r="C676">
        <v>4</v>
      </c>
      <c r="D676">
        <v>43.8</v>
      </c>
      <c r="E676">
        <v>175.2</v>
      </c>
      <c r="F676" s="1">
        <v>45686</v>
      </c>
      <c r="G676" s="1">
        <v>45693</v>
      </c>
      <c r="H676" t="s">
        <v>12</v>
      </c>
      <c r="I676" t="s">
        <v>20</v>
      </c>
      <c r="J676">
        <v>5</v>
      </c>
      <c r="K676" t="s">
        <v>4</v>
      </c>
      <c r="L676" t="s">
        <v>40</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5">
      <c r="A677" t="s">
        <v>754</v>
      </c>
      <c r="B677" t="s">
        <v>7</v>
      </c>
      <c r="C677">
        <v>1</v>
      </c>
      <c r="D677">
        <v>75</v>
      </c>
      <c r="E677">
        <v>75</v>
      </c>
      <c r="F677" s="1">
        <v>45686</v>
      </c>
      <c r="G677" s="1">
        <v>45688</v>
      </c>
      <c r="H677" t="s">
        <v>12</v>
      </c>
      <c r="I677" t="s">
        <v>55</v>
      </c>
      <c r="J677">
        <v>3</v>
      </c>
      <c r="K677" t="s">
        <v>4</v>
      </c>
      <c r="L677" t="s">
        <v>40</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5">
      <c r="A678" t="s">
        <v>755</v>
      </c>
      <c r="B678" t="s">
        <v>11</v>
      </c>
      <c r="C678">
        <v>1</v>
      </c>
      <c r="D678">
        <v>169.9</v>
      </c>
      <c r="E678">
        <v>169.9</v>
      </c>
      <c r="F678" s="1">
        <v>45686</v>
      </c>
      <c r="G678" s="1">
        <v>45687</v>
      </c>
      <c r="H678" t="s">
        <v>8</v>
      </c>
      <c r="I678" t="s">
        <v>25</v>
      </c>
      <c r="J678">
        <v>4</v>
      </c>
      <c r="K678" t="s">
        <v>4</v>
      </c>
      <c r="L678" t="s">
        <v>40</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5">
      <c r="A679" t="s">
        <v>756</v>
      </c>
      <c r="B679" t="s">
        <v>31</v>
      </c>
      <c r="C679">
        <v>2</v>
      </c>
      <c r="D679">
        <v>72.2</v>
      </c>
      <c r="E679">
        <v>144.4</v>
      </c>
      <c r="F679" s="1">
        <v>45686</v>
      </c>
      <c r="G679" s="1">
        <v>45688</v>
      </c>
      <c r="H679" t="s">
        <v>12</v>
      </c>
      <c r="I679" t="s">
        <v>55</v>
      </c>
      <c r="J679">
        <v>3</v>
      </c>
      <c r="K679" t="s">
        <v>4</v>
      </c>
      <c r="L679" t="s">
        <v>40</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5">
      <c r="A680" t="s">
        <v>757</v>
      </c>
      <c r="B680" t="s">
        <v>1</v>
      </c>
      <c r="C680">
        <v>1</v>
      </c>
      <c r="D680">
        <v>20</v>
      </c>
      <c r="E680">
        <v>20</v>
      </c>
      <c r="F680" s="1">
        <v>45687</v>
      </c>
      <c r="G680" s="1">
        <v>45690</v>
      </c>
      <c r="H680" t="s">
        <v>12</v>
      </c>
      <c r="I680" t="s">
        <v>25</v>
      </c>
      <c r="J680">
        <v>3</v>
      </c>
      <c r="K680" t="s">
        <v>4</v>
      </c>
      <c r="L680" t="s">
        <v>44</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5">
      <c r="A681" t="s">
        <v>758</v>
      </c>
      <c r="B681" t="s">
        <v>31</v>
      </c>
      <c r="C681">
        <v>2</v>
      </c>
      <c r="D681">
        <v>40.799999999999997</v>
      </c>
      <c r="E681">
        <v>81.599999999999994</v>
      </c>
      <c r="F681" s="1">
        <v>45687</v>
      </c>
      <c r="G681" s="1">
        <v>45689</v>
      </c>
      <c r="H681" t="s">
        <v>12</v>
      </c>
      <c r="I681" t="s">
        <v>36</v>
      </c>
      <c r="J681">
        <v>5</v>
      </c>
      <c r="K681" t="s">
        <v>4</v>
      </c>
      <c r="L681" t="s">
        <v>47</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5">
      <c r="A682" t="s">
        <v>759</v>
      </c>
      <c r="B682" t="s">
        <v>39</v>
      </c>
      <c r="C682">
        <v>4</v>
      </c>
      <c r="D682">
        <v>58</v>
      </c>
      <c r="E682">
        <v>232</v>
      </c>
      <c r="F682" s="1">
        <v>45687</v>
      </c>
      <c r="G682" s="1">
        <v>45691</v>
      </c>
      <c r="H682" t="s">
        <v>12</v>
      </c>
      <c r="I682" t="s">
        <v>3</v>
      </c>
      <c r="J682">
        <v>4</v>
      </c>
      <c r="K682" t="s">
        <v>4</v>
      </c>
      <c r="L682" t="s">
        <v>47</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5">
      <c r="A683" t="s">
        <v>760</v>
      </c>
      <c r="B683" t="s">
        <v>54</v>
      </c>
      <c r="C683">
        <v>2</v>
      </c>
      <c r="D683">
        <v>43.1</v>
      </c>
      <c r="E683">
        <v>86.2</v>
      </c>
      <c r="F683" s="1">
        <v>45687</v>
      </c>
      <c r="G683" s="1">
        <v>45688</v>
      </c>
      <c r="H683" t="s">
        <v>12</v>
      </c>
      <c r="I683" t="s">
        <v>20</v>
      </c>
      <c r="J683">
        <v>5</v>
      </c>
      <c r="K683" t="s">
        <v>4</v>
      </c>
      <c r="L683" t="s">
        <v>47</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5">
      <c r="A684" t="s">
        <v>761</v>
      </c>
      <c r="B684" t="s">
        <v>24</v>
      </c>
      <c r="C684">
        <v>9</v>
      </c>
      <c r="D684">
        <v>74.7</v>
      </c>
      <c r="E684">
        <v>672.30000000000007</v>
      </c>
      <c r="F684" s="1">
        <v>45687</v>
      </c>
      <c r="G684" s="1">
        <v>45689</v>
      </c>
      <c r="H684" t="s">
        <v>8</v>
      </c>
      <c r="I684" t="s">
        <v>3</v>
      </c>
      <c r="J684">
        <v>5</v>
      </c>
      <c r="K684" t="s">
        <v>4</v>
      </c>
      <c r="L684" t="s">
        <v>47</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5">
      <c r="A685" t="s">
        <v>762</v>
      </c>
      <c r="B685" t="s">
        <v>24</v>
      </c>
      <c r="C685">
        <v>1</v>
      </c>
      <c r="D685">
        <v>128.19999999999999</v>
      </c>
      <c r="E685">
        <v>128.19999999999999</v>
      </c>
      <c r="F685" s="1">
        <v>45687</v>
      </c>
      <c r="G685" s="1">
        <v>45687</v>
      </c>
      <c r="H685" t="s">
        <v>8</v>
      </c>
      <c r="I685" t="s">
        <v>20</v>
      </c>
      <c r="J685">
        <v>4</v>
      </c>
      <c r="K685" t="s">
        <v>4</v>
      </c>
      <c r="L685" t="s">
        <v>47</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5">
      <c r="A686" t="s">
        <v>763</v>
      </c>
      <c r="B686" t="s">
        <v>66</v>
      </c>
      <c r="C686">
        <v>4</v>
      </c>
      <c r="D686">
        <v>26.7</v>
      </c>
      <c r="E686">
        <v>106.8</v>
      </c>
      <c r="F686" s="1">
        <v>45687</v>
      </c>
      <c r="G686" s="1">
        <v>45688</v>
      </c>
      <c r="H686" t="s">
        <v>8</v>
      </c>
      <c r="I686" t="s">
        <v>20</v>
      </c>
      <c r="J686">
        <v>4</v>
      </c>
      <c r="K686" t="s">
        <v>4</v>
      </c>
      <c r="L686" t="s">
        <v>47</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5">
      <c r="A687" t="s">
        <v>764</v>
      </c>
      <c r="B687" t="s">
        <v>120</v>
      </c>
      <c r="C687">
        <v>6</v>
      </c>
      <c r="D687">
        <v>31.5</v>
      </c>
      <c r="E687">
        <v>189</v>
      </c>
      <c r="F687" s="1">
        <v>45687</v>
      </c>
      <c r="G687" s="1">
        <v>45688</v>
      </c>
      <c r="H687" t="s">
        <v>12</v>
      </c>
      <c r="I687" t="s">
        <v>25</v>
      </c>
      <c r="J687">
        <v>4</v>
      </c>
      <c r="K687" t="s">
        <v>4</v>
      </c>
      <c r="L687" t="s">
        <v>88</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5">
      <c r="A688" t="s">
        <v>765</v>
      </c>
      <c r="B688" t="s">
        <v>15</v>
      </c>
      <c r="C688">
        <v>7</v>
      </c>
      <c r="D688">
        <v>64.7</v>
      </c>
      <c r="E688">
        <v>452.90000000000003</v>
      </c>
      <c r="F688" s="1">
        <v>45687</v>
      </c>
      <c r="G688" s="1">
        <v>45688</v>
      </c>
      <c r="H688" t="s">
        <v>12</v>
      </c>
      <c r="I688" t="s">
        <v>3</v>
      </c>
      <c r="J688">
        <v>5</v>
      </c>
      <c r="K688" t="s">
        <v>4</v>
      </c>
      <c r="L688" t="s">
        <v>57</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5">
      <c r="A689" t="s">
        <v>766</v>
      </c>
      <c r="B689" t="s">
        <v>22</v>
      </c>
      <c r="C689">
        <v>2</v>
      </c>
      <c r="D689">
        <v>55.6</v>
      </c>
      <c r="E689">
        <v>111.2</v>
      </c>
      <c r="F689" s="1">
        <v>45687</v>
      </c>
      <c r="G689" s="1">
        <v>45690</v>
      </c>
      <c r="H689" t="s">
        <v>12</v>
      </c>
      <c r="I689" t="s">
        <v>36</v>
      </c>
      <c r="J689">
        <v>4</v>
      </c>
      <c r="K689" t="s">
        <v>4</v>
      </c>
      <c r="L689" t="s">
        <v>62</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5">
      <c r="A690" t="s">
        <v>767</v>
      </c>
      <c r="B690" t="s">
        <v>15</v>
      </c>
      <c r="C690">
        <v>2</v>
      </c>
      <c r="D690">
        <v>36.200000000000003</v>
      </c>
      <c r="E690">
        <v>72.400000000000006</v>
      </c>
      <c r="F690" s="1">
        <v>45687</v>
      </c>
      <c r="G690" s="1">
        <v>45688</v>
      </c>
      <c r="H690" t="s">
        <v>12</v>
      </c>
      <c r="I690" t="s">
        <v>36</v>
      </c>
      <c r="J690">
        <v>4</v>
      </c>
      <c r="K690" t="s">
        <v>4</v>
      </c>
      <c r="L690" t="s">
        <v>62</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5">
      <c r="A691" t="s">
        <v>768</v>
      </c>
      <c r="B691" t="s">
        <v>1</v>
      </c>
      <c r="C691">
        <v>1</v>
      </c>
      <c r="D691">
        <v>26.6</v>
      </c>
      <c r="E691">
        <v>26.6</v>
      </c>
      <c r="F691" s="1">
        <v>45687</v>
      </c>
      <c r="G691" s="1">
        <v>45688</v>
      </c>
      <c r="H691" t="s">
        <v>2</v>
      </c>
      <c r="I691" t="s">
        <v>20</v>
      </c>
      <c r="J691">
        <v>3</v>
      </c>
      <c r="K691" t="s">
        <v>4</v>
      </c>
      <c r="L691" t="s">
        <v>95</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5">
      <c r="A692" t="s">
        <v>769</v>
      </c>
      <c r="B692" t="s">
        <v>39</v>
      </c>
      <c r="C692">
        <v>4</v>
      </c>
      <c r="D692">
        <v>31.5</v>
      </c>
      <c r="E692">
        <v>126</v>
      </c>
      <c r="F692" s="1">
        <v>45687</v>
      </c>
      <c r="G692" s="1">
        <v>45689</v>
      </c>
      <c r="H692" t="s">
        <v>8</v>
      </c>
      <c r="I692" t="s">
        <v>3</v>
      </c>
      <c r="J692">
        <v>4</v>
      </c>
      <c r="K692" t="s">
        <v>4</v>
      </c>
      <c r="L692" t="s">
        <v>277</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5">
      <c r="A693" t="s">
        <v>770</v>
      </c>
      <c r="B693" t="s">
        <v>39</v>
      </c>
      <c r="C693">
        <v>1</v>
      </c>
      <c r="D693">
        <v>27</v>
      </c>
      <c r="E693">
        <v>27</v>
      </c>
      <c r="F693" s="1">
        <v>45687</v>
      </c>
      <c r="G693" s="1">
        <v>45689</v>
      </c>
      <c r="H693" t="s">
        <v>12</v>
      </c>
      <c r="I693" t="s">
        <v>20</v>
      </c>
      <c r="J693">
        <v>5</v>
      </c>
      <c r="K693" t="s">
        <v>4</v>
      </c>
      <c r="L693" t="s">
        <v>67</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5">
      <c r="A694" t="s">
        <v>771</v>
      </c>
      <c r="B694" t="s">
        <v>17</v>
      </c>
      <c r="C694">
        <v>1</v>
      </c>
      <c r="D694">
        <v>32</v>
      </c>
      <c r="E694">
        <v>32</v>
      </c>
      <c r="F694" s="1">
        <v>45687</v>
      </c>
      <c r="G694" s="1">
        <v>45690</v>
      </c>
      <c r="H694" t="s">
        <v>8</v>
      </c>
      <c r="I694" t="s">
        <v>36</v>
      </c>
      <c r="J694">
        <v>4</v>
      </c>
      <c r="K694" t="s">
        <v>4</v>
      </c>
      <c r="L694" t="s">
        <v>100</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5">
      <c r="A695" t="s">
        <v>772</v>
      </c>
      <c r="B695" t="s">
        <v>7</v>
      </c>
      <c r="C695">
        <v>3</v>
      </c>
      <c r="D695">
        <v>48.1</v>
      </c>
      <c r="E695">
        <v>144.30000000000001</v>
      </c>
      <c r="F695" s="1">
        <v>45687</v>
      </c>
      <c r="G695" s="1">
        <v>45689</v>
      </c>
      <c r="H695" t="s">
        <v>8</v>
      </c>
      <c r="I695" t="s">
        <v>25</v>
      </c>
      <c r="J695">
        <v>3</v>
      </c>
      <c r="K695" t="s">
        <v>4</v>
      </c>
      <c r="L695" t="s">
        <v>9</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5">
      <c r="A696" t="s">
        <v>773</v>
      </c>
      <c r="B696" t="s">
        <v>31</v>
      </c>
      <c r="C696">
        <v>2</v>
      </c>
      <c r="D696">
        <v>43.4</v>
      </c>
      <c r="E696">
        <v>86.8</v>
      </c>
      <c r="F696" s="1">
        <v>45687</v>
      </c>
      <c r="G696" s="1">
        <v>45688</v>
      </c>
      <c r="H696" t="s">
        <v>8</v>
      </c>
      <c r="I696" t="s">
        <v>20</v>
      </c>
      <c r="J696">
        <v>3</v>
      </c>
      <c r="K696" t="s">
        <v>4</v>
      </c>
      <c r="L696" t="s">
        <v>132</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5">
      <c r="A697" t="s">
        <v>774</v>
      </c>
      <c r="B697" t="s">
        <v>24</v>
      </c>
      <c r="C697">
        <v>2</v>
      </c>
      <c r="D697">
        <v>42.6</v>
      </c>
      <c r="E697">
        <v>85.2</v>
      </c>
      <c r="F697" s="1">
        <v>45687</v>
      </c>
      <c r="G697" s="1">
        <v>45690</v>
      </c>
      <c r="H697" t="s">
        <v>12</v>
      </c>
      <c r="I697" t="s">
        <v>36</v>
      </c>
      <c r="J697">
        <v>4</v>
      </c>
      <c r="K697" t="s">
        <v>4</v>
      </c>
      <c r="L697" t="s">
        <v>132</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5">
      <c r="A698" t="s">
        <v>775</v>
      </c>
      <c r="B698" t="s">
        <v>29</v>
      </c>
      <c r="C698">
        <v>2</v>
      </c>
      <c r="D698">
        <v>15.9</v>
      </c>
      <c r="E698">
        <v>31.8</v>
      </c>
      <c r="F698" s="1">
        <v>45687</v>
      </c>
      <c r="G698" s="1">
        <v>45688</v>
      </c>
      <c r="H698" t="s">
        <v>12</v>
      </c>
      <c r="I698" t="s">
        <v>3</v>
      </c>
      <c r="J698">
        <v>4</v>
      </c>
      <c r="K698" t="s">
        <v>4</v>
      </c>
      <c r="L698" t="s">
        <v>319</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5">
      <c r="A699" t="s">
        <v>776</v>
      </c>
      <c r="B699" t="s">
        <v>31</v>
      </c>
      <c r="C699">
        <v>2</v>
      </c>
      <c r="D699">
        <v>63.2</v>
      </c>
      <c r="E699">
        <v>126.4</v>
      </c>
      <c r="F699" s="1">
        <v>45687</v>
      </c>
      <c r="G699" s="1">
        <v>45688</v>
      </c>
      <c r="H699" t="s">
        <v>8</v>
      </c>
      <c r="I699" t="s">
        <v>20</v>
      </c>
      <c r="J699">
        <v>4</v>
      </c>
      <c r="K699" t="s">
        <v>4</v>
      </c>
      <c r="L699" t="s">
        <v>18</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5">
      <c r="A700" t="s">
        <v>777</v>
      </c>
      <c r="B700" t="s">
        <v>27</v>
      </c>
      <c r="C700">
        <v>4</v>
      </c>
      <c r="D700">
        <v>64.8</v>
      </c>
      <c r="E700">
        <v>259.2</v>
      </c>
      <c r="F700" s="1">
        <v>45687</v>
      </c>
      <c r="G700" s="1">
        <v>45689</v>
      </c>
      <c r="H700" t="s">
        <v>2</v>
      </c>
      <c r="I700" t="s">
        <v>55</v>
      </c>
      <c r="J700">
        <v>3</v>
      </c>
      <c r="K700" t="s">
        <v>4</v>
      </c>
      <c r="L700" t="s">
        <v>18</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5">
      <c r="A701" t="s">
        <v>778</v>
      </c>
      <c r="B701" t="s">
        <v>27</v>
      </c>
      <c r="C701">
        <v>3</v>
      </c>
      <c r="D701">
        <v>79.8</v>
      </c>
      <c r="E701">
        <v>239.39999999999998</v>
      </c>
      <c r="F701" s="1">
        <v>45687</v>
      </c>
      <c r="G701" s="1">
        <v>45688</v>
      </c>
      <c r="H701" t="s">
        <v>8</v>
      </c>
      <c r="I701" t="s">
        <v>3</v>
      </c>
      <c r="J701">
        <v>4</v>
      </c>
      <c r="K701" t="s">
        <v>4</v>
      </c>
      <c r="L701" t="s">
        <v>18</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5">
      <c r="A702" t="s">
        <v>779</v>
      </c>
      <c r="B702" t="s">
        <v>31</v>
      </c>
      <c r="C702">
        <v>1</v>
      </c>
      <c r="D702">
        <v>54.4</v>
      </c>
      <c r="E702">
        <v>54.4</v>
      </c>
      <c r="F702" s="1">
        <v>45687</v>
      </c>
      <c r="G702" s="1">
        <v>45689</v>
      </c>
      <c r="H702" t="s">
        <v>12</v>
      </c>
      <c r="I702" t="s">
        <v>55</v>
      </c>
      <c r="J702">
        <v>5</v>
      </c>
      <c r="K702" t="s">
        <v>4</v>
      </c>
      <c r="L702" t="s">
        <v>18</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5">
      <c r="A703" t="s">
        <v>780</v>
      </c>
      <c r="B703" t="s">
        <v>24</v>
      </c>
      <c r="C703">
        <v>1</v>
      </c>
      <c r="D703">
        <v>87.3</v>
      </c>
      <c r="E703">
        <v>87.3</v>
      </c>
      <c r="F703" s="1">
        <v>45687</v>
      </c>
      <c r="G703" s="1">
        <v>45688</v>
      </c>
      <c r="H703" t="s">
        <v>8</v>
      </c>
      <c r="I703" t="s">
        <v>20</v>
      </c>
      <c r="J703">
        <v>4</v>
      </c>
      <c r="K703" t="s">
        <v>4</v>
      </c>
      <c r="L703" t="s">
        <v>18</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5">
      <c r="A704" t="s">
        <v>781</v>
      </c>
      <c r="B704" t="s">
        <v>29</v>
      </c>
      <c r="C704">
        <v>4</v>
      </c>
      <c r="D704">
        <v>32.4</v>
      </c>
      <c r="E704">
        <v>129.6</v>
      </c>
      <c r="F704" s="1">
        <v>45687</v>
      </c>
      <c r="G704" s="1">
        <v>45687</v>
      </c>
      <c r="H704" t="s">
        <v>8</v>
      </c>
      <c r="I704" t="s">
        <v>20</v>
      </c>
      <c r="J704">
        <v>4</v>
      </c>
      <c r="K704" t="s">
        <v>4</v>
      </c>
      <c r="L704" t="s">
        <v>18</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5">
      <c r="A705" t="s">
        <v>782</v>
      </c>
      <c r="B705" t="s">
        <v>11</v>
      </c>
      <c r="C705">
        <v>1</v>
      </c>
      <c r="D705">
        <v>177.4</v>
      </c>
      <c r="E705">
        <v>177.4</v>
      </c>
      <c r="F705" s="1">
        <v>45687</v>
      </c>
      <c r="G705" s="1">
        <v>45691</v>
      </c>
      <c r="H705" t="s">
        <v>8</v>
      </c>
      <c r="I705" t="s">
        <v>3</v>
      </c>
      <c r="J705">
        <v>5</v>
      </c>
      <c r="K705" t="s">
        <v>4</v>
      </c>
      <c r="L705" t="s">
        <v>18</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5">
      <c r="A706" t="s">
        <v>783</v>
      </c>
      <c r="B706" t="s">
        <v>27</v>
      </c>
      <c r="C706">
        <v>2</v>
      </c>
      <c r="D706">
        <v>70.099999999999994</v>
      </c>
      <c r="E706">
        <v>140.19999999999999</v>
      </c>
      <c r="F706" s="1">
        <v>45687</v>
      </c>
      <c r="G706" s="1">
        <v>45688</v>
      </c>
      <c r="H706" t="s">
        <v>8</v>
      </c>
      <c r="I706" t="s">
        <v>36</v>
      </c>
      <c r="J706">
        <v>3</v>
      </c>
      <c r="K706" t="s">
        <v>4</v>
      </c>
      <c r="L706" t="s">
        <v>18</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5">
      <c r="A707" t="s">
        <v>784</v>
      </c>
      <c r="B707" t="s">
        <v>31</v>
      </c>
      <c r="C707">
        <v>6</v>
      </c>
      <c r="D707">
        <v>51.1</v>
      </c>
      <c r="E707">
        <v>306.60000000000002</v>
      </c>
      <c r="F707" s="1">
        <v>45687</v>
      </c>
      <c r="G707" s="1">
        <v>45688</v>
      </c>
      <c r="H707" t="s">
        <v>12</v>
      </c>
      <c r="I707" t="s">
        <v>3</v>
      </c>
      <c r="J707">
        <v>4</v>
      </c>
      <c r="K707" t="s">
        <v>4</v>
      </c>
      <c r="L707" t="s">
        <v>18</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5">
      <c r="A708" t="s">
        <v>785</v>
      </c>
      <c r="B708" t="s">
        <v>11</v>
      </c>
      <c r="C708">
        <v>5</v>
      </c>
      <c r="D708">
        <v>79.900000000000006</v>
      </c>
      <c r="E708">
        <v>399.5</v>
      </c>
      <c r="F708" s="1">
        <v>45687</v>
      </c>
      <c r="G708" s="1">
        <v>45689</v>
      </c>
      <c r="H708" t="s">
        <v>8</v>
      </c>
      <c r="I708" t="s">
        <v>36</v>
      </c>
      <c r="J708">
        <v>5</v>
      </c>
      <c r="K708" t="s">
        <v>4</v>
      </c>
      <c r="L708" t="s">
        <v>171</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5">
      <c r="A709" t="s">
        <v>786</v>
      </c>
      <c r="B709" t="s">
        <v>24</v>
      </c>
      <c r="C709">
        <v>1</v>
      </c>
      <c r="D709">
        <v>57.6</v>
      </c>
      <c r="E709">
        <v>57.6</v>
      </c>
      <c r="F709" s="1">
        <v>45688</v>
      </c>
      <c r="G709" s="1">
        <v>45693</v>
      </c>
      <c r="H709" t="s">
        <v>8</v>
      </c>
      <c r="I709" t="s">
        <v>3</v>
      </c>
      <c r="J709">
        <v>5</v>
      </c>
      <c r="K709" t="s">
        <v>4</v>
      </c>
      <c r="L709" t="s">
        <v>787</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5">
      <c r="A710" t="s">
        <v>788</v>
      </c>
      <c r="B710" t="s">
        <v>29</v>
      </c>
      <c r="C710">
        <v>10</v>
      </c>
      <c r="D710">
        <v>59.7</v>
      </c>
      <c r="E710">
        <v>597</v>
      </c>
      <c r="F710" s="1">
        <v>45688</v>
      </c>
      <c r="G710" s="1">
        <v>45692</v>
      </c>
      <c r="H710" t="s">
        <v>8</v>
      </c>
      <c r="I710" t="s">
        <v>25</v>
      </c>
      <c r="J710">
        <v>4</v>
      </c>
      <c r="K710" t="s">
        <v>4</v>
      </c>
      <c r="L710" t="s">
        <v>173</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5">
      <c r="A711" t="s">
        <v>789</v>
      </c>
      <c r="B711" t="s">
        <v>29</v>
      </c>
      <c r="C711">
        <v>5</v>
      </c>
      <c r="D711">
        <v>30</v>
      </c>
      <c r="E711">
        <v>150</v>
      </c>
      <c r="F711" s="1">
        <v>45688</v>
      </c>
      <c r="G711" s="1">
        <v>45690</v>
      </c>
      <c r="H711" t="s">
        <v>8</v>
      </c>
      <c r="I711" t="s">
        <v>20</v>
      </c>
      <c r="J711">
        <v>4</v>
      </c>
      <c r="K711" t="s">
        <v>4</v>
      </c>
      <c r="L711" t="s">
        <v>40</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5">
      <c r="A712" t="s">
        <v>790</v>
      </c>
      <c r="B712" t="s">
        <v>39</v>
      </c>
      <c r="C712">
        <v>2</v>
      </c>
      <c r="D712">
        <v>69.2</v>
      </c>
      <c r="E712">
        <v>138.4</v>
      </c>
      <c r="F712" s="1">
        <v>45688</v>
      </c>
      <c r="G712" s="1">
        <v>45690</v>
      </c>
      <c r="H712" t="s">
        <v>2</v>
      </c>
      <c r="I712" t="s">
        <v>25</v>
      </c>
      <c r="J712">
        <v>3</v>
      </c>
      <c r="K712" t="s">
        <v>4</v>
      </c>
      <c r="L712" t="s">
        <v>40</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5">
      <c r="A713" t="s">
        <v>791</v>
      </c>
      <c r="B713" t="s">
        <v>1</v>
      </c>
      <c r="C713">
        <v>8</v>
      </c>
      <c r="D713">
        <v>10.9</v>
      </c>
      <c r="E713">
        <v>87.2</v>
      </c>
      <c r="F713" s="1">
        <v>45688</v>
      </c>
      <c r="G713" s="1">
        <v>45689</v>
      </c>
      <c r="H713" t="s">
        <v>12</v>
      </c>
      <c r="I713" t="s">
        <v>3</v>
      </c>
      <c r="J713">
        <v>5</v>
      </c>
      <c r="K713" t="s">
        <v>4</v>
      </c>
      <c r="L713" t="s">
        <v>40</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5">
      <c r="A714" t="s">
        <v>792</v>
      </c>
      <c r="B714" t="s">
        <v>113</v>
      </c>
      <c r="C714">
        <v>2</v>
      </c>
      <c r="D714">
        <v>48.6</v>
      </c>
      <c r="E714">
        <v>97.2</v>
      </c>
      <c r="F714" s="1">
        <v>45688</v>
      </c>
      <c r="G714" s="1">
        <v>45692</v>
      </c>
      <c r="H714" t="s">
        <v>8</v>
      </c>
      <c r="I714" t="s">
        <v>20</v>
      </c>
      <c r="J714">
        <v>5</v>
      </c>
      <c r="K714" t="s">
        <v>4</v>
      </c>
      <c r="L714" t="s">
        <v>40</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5">
      <c r="A715" t="s">
        <v>793</v>
      </c>
      <c r="B715" t="s">
        <v>11</v>
      </c>
      <c r="C715">
        <v>2</v>
      </c>
      <c r="D715">
        <v>61.1</v>
      </c>
      <c r="E715">
        <v>122.2</v>
      </c>
      <c r="F715" s="1">
        <v>45688</v>
      </c>
      <c r="G715" s="1">
        <v>45691</v>
      </c>
      <c r="H715" t="s">
        <v>12</v>
      </c>
      <c r="I715" t="s">
        <v>20</v>
      </c>
      <c r="J715">
        <v>5</v>
      </c>
      <c r="K715" t="s">
        <v>4</v>
      </c>
      <c r="L715" t="s">
        <v>44</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5">
      <c r="A716" t="s">
        <v>794</v>
      </c>
      <c r="B716" t="s">
        <v>29</v>
      </c>
      <c r="C716">
        <v>2</v>
      </c>
      <c r="D716">
        <v>23.2</v>
      </c>
      <c r="E716">
        <v>46.4</v>
      </c>
      <c r="F716" s="1">
        <v>45688</v>
      </c>
      <c r="G716" s="1">
        <v>45689</v>
      </c>
      <c r="H716" t="s">
        <v>8</v>
      </c>
      <c r="I716" t="s">
        <v>36</v>
      </c>
      <c r="J716">
        <v>5</v>
      </c>
      <c r="K716" t="s">
        <v>4</v>
      </c>
      <c r="L716" t="s">
        <v>47</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5">
      <c r="A717" t="s">
        <v>795</v>
      </c>
      <c r="B717" t="s">
        <v>54</v>
      </c>
      <c r="C717">
        <v>4</v>
      </c>
      <c r="D717">
        <v>55.8</v>
      </c>
      <c r="E717">
        <v>223.2</v>
      </c>
      <c r="F717" s="1">
        <v>45688</v>
      </c>
      <c r="G717" s="1">
        <v>45689</v>
      </c>
      <c r="H717" t="s">
        <v>8</v>
      </c>
      <c r="I717" t="s">
        <v>3</v>
      </c>
      <c r="J717">
        <v>4</v>
      </c>
      <c r="K717" t="s">
        <v>4</v>
      </c>
      <c r="L717" t="s">
        <v>47</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5">
      <c r="A718" t="s">
        <v>796</v>
      </c>
      <c r="B718" t="s">
        <v>31</v>
      </c>
      <c r="C718">
        <v>4</v>
      </c>
      <c r="D718">
        <v>24.8</v>
      </c>
      <c r="E718">
        <v>99.2</v>
      </c>
      <c r="F718" s="1">
        <v>45688</v>
      </c>
      <c r="G718" s="1">
        <v>45689</v>
      </c>
      <c r="H718" t="s">
        <v>12</v>
      </c>
      <c r="I718" t="s">
        <v>3</v>
      </c>
      <c r="J718">
        <v>5</v>
      </c>
      <c r="K718" t="s">
        <v>4</v>
      </c>
      <c r="L718" t="s">
        <v>47</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5">
      <c r="A719" t="s">
        <v>797</v>
      </c>
      <c r="B719" t="s">
        <v>39</v>
      </c>
      <c r="C719">
        <v>2</v>
      </c>
      <c r="D719">
        <v>27.9</v>
      </c>
      <c r="E719">
        <v>55.8</v>
      </c>
      <c r="F719" s="1">
        <v>45688</v>
      </c>
      <c r="G719" s="1">
        <v>45688</v>
      </c>
      <c r="H719" t="s">
        <v>8</v>
      </c>
      <c r="I719" t="s">
        <v>25</v>
      </c>
      <c r="J719">
        <v>5</v>
      </c>
      <c r="K719" t="s">
        <v>4</v>
      </c>
      <c r="L719" t="s">
        <v>47</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5">
      <c r="A720" t="s">
        <v>798</v>
      </c>
      <c r="B720" t="s">
        <v>39</v>
      </c>
      <c r="C720">
        <v>6</v>
      </c>
      <c r="D720">
        <v>51.1</v>
      </c>
      <c r="E720">
        <v>306.60000000000002</v>
      </c>
      <c r="F720" s="1">
        <v>45688</v>
      </c>
      <c r="G720" s="1">
        <v>45688</v>
      </c>
      <c r="H720" t="s">
        <v>12</v>
      </c>
      <c r="I720" t="s">
        <v>36</v>
      </c>
      <c r="J720">
        <v>4</v>
      </c>
      <c r="K720" t="s">
        <v>4</v>
      </c>
      <c r="L720" t="s">
        <v>47</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5">
      <c r="A721" t="s">
        <v>799</v>
      </c>
      <c r="B721" t="s">
        <v>120</v>
      </c>
      <c r="C721">
        <v>11</v>
      </c>
      <c r="D721">
        <v>32.700000000000003</v>
      </c>
      <c r="E721">
        <v>359.70000000000005</v>
      </c>
      <c r="F721" s="1">
        <v>45688</v>
      </c>
      <c r="G721" s="1">
        <v>45689</v>
      </c>
      <c r="H721" t="s">
        <v>8</v>
      </c>
      <c r="I721" t="s">
        <v>55</v>
      </c>
      <c r="J721">
        <v>5</v>
      </c>
      <c r="K721" t="s">
        <v>4</v>
      </c>
      <c r="L721" t="s">
        <v>88</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5">
      <c r="A722" t="s">
        <v>800</v>
      </c>
      <c r="B722" t="s">
        <v>29</v>
      </c>
      <c r="C722">
        <v>4</v>
      </c>
      <c r="D722">
        <v>22.5</v>
      </c>
      <c r="E722">
        <v>90</v>
      </c>
      <c r="F722" s="1">
        <v>45688</v>
      </c>
      <c r="G722" s="1">
        <v>45688</v>
      </c>
      <c r="H722" t="s">
        <v>8</v>
      </c>
      <c r="I722" t="s">
        <v>3</v>
      </c>
      <c r="J722">
        <v>5</v>
      </c>
      <c r="K722" t="s">
        <v>4</v>
      </c>
      <c r="L722" t="s">
        <v>186</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5">
      <c r="A723" t="s">
        <v>801</v>
      </c>
      <c r="B723" t="s">
        <v>1</v>
      </c>
      <c r="C723">
        <v>7</v>
      </c>
      <c r="D723">
        <v>14.6</v>
      </c>
      <c r="E723">
        <v>102.2</v>
      </c>
      <c r="F723" s="1">
        <v>45688</v>
      </c>
      <c r="G723" s="1">
        <v>45689</v>
      </c>
      <c r="H723" t="s">
        <v>12</v>
      </c>
      <c r="I723" t="s">
        <v>25</v>
      </c>
      <c r="J723">
        <v>4</v>
      </c>
      <c r="K723" t="s">
        <v>4</v>
      </c>
      <c r="L723" t="s">
        <v>414</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5">
      <c r="A724" t="s">
        <v>802</v>
      </c>
      <c r="B724" t="s">
        <v>22</v>
      </c>
      <c r="C724">
        <v>3</v>
      </c>
      <c r="D724">
        <v>32.5</v>
      </c>
      <c r="E724">
        <v>97.5</v>
      </c>
      <c r="F724" s="1">
        <v>45688</v>
      </c>
      <c r="G724" s="1">
        <v>45691</v>
      </c>
      <c r="H724" t="s">
        <v>8</v>
      </c>
      <c r="I724" t="s">
        <v>3</v>
      </c>
      <c r="J724">
        <v>4</v>
      </c>
      <c r="K724" t="s">
        <v>4</v>
      </c>
      <c r="L724" t="s">
        <v>59</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5">
      <c r="A725" t="s">
        <v>803</v>
      </c>
      <c r="B725" t="s">
        <v>131</v>
      </c>
      <c r="C725">
        <v>1</v>
      </c>
      <c r="D725">
        <v>78.099999999999994</v>
      </c>
      <c r="E725">
        <v>78.099999999999994</v>
      </c>
      <c r="F725" s="1">
        <v>45688</v>
      </c>
      <c r="G725" s="1">
        <v>45691</v>
      </c>
      <c r="H725" t="s">
        <v>8</v>
      </c>
      <c r="I725" t="s">
        <v>3</v>
      </c>
      <c r="J725">
        <v>5</v>
      </c>
      <c r="K725" t="s">
        <v>4</v>
      </c>
      <c r="L725" t="s">
        <v>62</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5">
      <c r="A726" t="s">
        <v>804</v>
      </c>
      <c r="B726" t="s">
        <v>54</v>
      </c>
      <c r="C726">
        <v>6</v>
      </c>
      <c r="D726">
        <v>110.2</v>
      </c>
      <c r="E726">
        <v>661.2</v>
      </c>
      <c r="F726" s="1">
        <v>45688</v>
      </c>
      <c r="G726" s="1">
        <v>45688</v>
      </c>
      <c r="H726" t="s">
        <v>8</v>
      </c>
      <c r="I726" t="s">
        <v>20</v>
      </c>
      <c r="J726">
        <v>2</v>
      </c>
      <c r="K726" t="s">
        <v>4</v>
      </c>
      <c r="L726" t="s">
        <v>67</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5">
      <c r="A727" t="s">
        <v>805</v>
      </c>
      <c r="B727" t="s">
        <v>24</v>
      </c>
      <c r="C727">
        <v>3</v>
      </c>
      <c r="D727">
        <v>86.3</v>
      </c>
      <c r="E727">
        <v>258.89999999999998</v>
      </c>
      <c r="F727" s="1">
        <v>45688</v>
      </c>
      <c r="G727" s="1">
        <v>45690</v>
      </c>
      <c r="H727" t="s">
        <v>12</v>
      </c>
      <c r="I727" t="s">
        <v>36</v>
      </c>
      <c r="J727">
        <v>4</v>
      </c>
      <c r="K727" t="s">
        <v>4</v>
      </c>
      <c r="L727" t="s">
        <v>100</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5">
      <c r="A728" t="s">
        <v>806</v>
      </c>
      <c r="B728" t="s">
        <v>7</v>
      </c>
      <c r="C728">
        <v>6</v>
      </c>
      <c r="D728">
        <v>73.599999999999994</v>
      </c>
      <c r="E728">
        <v>441.59999999999997</v>
      </c>
      <c r="F728" s="1">
        <v>45688</v>
      </c>
      <c r="G728" s="1">
        <v>45690</v>
      </c>
      <c r="H728" t="s">
        <v>74</v>
      </c>
      <c r="I728" t="s">
        <v>36</v>
      </c>
      <c r="J728">
        <v>2</v>
      </c>
      <c r="K728" t="s">
        <v>4</v>
      </c>
      <c r="L728" t="s">
        <v>572</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5">
      <c r="A729" t="s">
        <v>807</v>
      </c>
      <c r="B729" t="s">
        <v>24</v>
      </c>
      <c r="C729">
        <v>13</v>
      </c>
      <c r="D729">
        <v>67.7</v>
      </c>
      <c r="E729">
        <v>880.1</v>
      </c>
      <c r="F729" s="1">
        <v>45688</v>
      </c>
      <c r="G729" s="1">
        <v>45690</v>
      </c>
      <c r="H729" t="s">
        <v>12</v>
      </c>
      <c r="I729" t="s">
        <v>3</v>
      </c>
      <c r="J729">
        <v>5</v>
      </c>
      <c r="K729" t="s">
        <v>4</v>
      </c>
      <c r="L729" t="s">
        <v>18</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5">
      <c r="A730" t="s">
        <v>808</v>
      </c>
      <c r="B730" t="s">
        <v>27</v>
      </c>
      <c r="C730">
        <v>6</v>
      </c>
      <c r="D730">
        <v>142.19999999999999</v>
      </c>
      <c r="E730">
        <v>853.19999999999993</v>
      </c>
      <c r="F730" s="1">
        <v>45688</v>
      </c>
      <c r="G730" s="1">
        <v>45689</v>
      </c>
      <c r="H730" t="s">
        <v>12</v>
      </c>
      <c r="I730" t="s">
        <v>25</v>
      </c>
      <c r="J730">
        <v>2</v>
      </c>
      <c r="K730" t="s">
        <v>4</v>
      </c>
      <c r="L730" t="s">
        <v>18</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5">
      <c r="A731" t="s">
        <v>809</v>
      </c>
      <c r="B731" t="s">
        <v>7</v>
      </c>
      <c r="C731">
        <v>9</v>
      </c>
      <c r="D731">
        <v>45.8</v>
      </c>
      <c r="E731">
        <v>412.2</v>
      </c>
      <c r="F731" s="1">
        <v>45688</v>
      </c>
      <c r="G731" s="1">
        <v>45690</v>
      </c>
      <c r="H731" t="s">
        <v>12</v>
      </c>
      <c r="I731" t="s">
        <v>20</v>
      </c>
      <c r="J731">
        <v>5</v>
      </c>
      <c r="K731" t="s">
        <v>4</v>
      </c>
      <c r="L731" t="s">
        <v>18</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5">
      <c r="A732" t="s">
        <v>810</v>
      </c>
      <c r="B732" t="s">
        <v>39</v>
      </c>
      <c r="C732">
        <v>2</v>
      </c>
      <c r="D732">
        <v>24.2</v>
      </c>
      <c r="E732">
        <v>48.4</v>
      </c>
      <c r="F732" s="1">
        <v>45689</v>
      </c>
      <c r="G732" s="1">
        <v>45692</v>
      </c>
      <c r="H732" t="s">
        <v>12</v>
      </c>
      <c r="I732" t="s">
        <v>36</v>
      </c>
      <c r="J732">
        <v>5</v>
      </c>
      <c r="K732" t="s">
        <v>4</v>
      </c>
      <c r="L732" t="s">
        <v>18</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5">
      <c r="A733" t="s">
        <v>811</v>
      </c>
      <c r="B733" t="s">
        <v>11</v>
      </c>
      <c r="C733">
        <v>3</v>
      </c>
      <c r="D733">
        <v>144.9</v>
      </c>
      <c r="E733">
        <v>434.70000000000005</v>
      </c>
      <c r="F733" s="1">
        <v>45689</v>
      </c>
      <c r="G733" s="1">
        <v>45690</v>
      </c>
      <c r="H733" t="s">
        <v>74</v>
      </c>
      <c r="I733" t="s">
        <v>25</v>
      </c>
      <c r="J733">
        <v>5</v>
      </c>
      <c r="K733" t="s">
        <v>4</v>
      </c>
      <c r="L733" t="s">
        <v>18</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5">
      <c r="A734" t="s">
        <v>812</v>
      </c>
      <c r="B734" t="s">
        <v>52</v>
      </c>
      <c r="C734">
        <v>5</v>
      </c>
      <c r="D734">
        <v>32.799999999999997</v>
      </c>
      <c r="E734">
        <v>164</v>
      </c>
      <c r="F734" s="1">
        <v>45689</v>
      </c>
      <c r="G734" s="1">
        <v>45692</v>
      </c>
      <c r="H734" t="s">
        <v>12</v>
      </c>
      <c r="I734" t="s">
        <v>25</v>
      </c>
      <c r="J734">
        <v>4</v>
      </c>
      <c r="K734" t="s">
        <v>4</v>
      </c>
      <c r="L734" t="s">
        <v>143</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5">
      <c r="A735" t="s">
        <v>813</v>
      </c>
      <c r="B735" t="s">
        <v>27</v>
      </c>
      <c r="C735">
        <v>10</v>
      </c>
      <c r="D735">
        <v>35.700000000000003</v>
      </c>
      <c r="E735">
        <v>357</v>
      </c>
      <c r="F735" s="1">
        <v>45689</v>
      </c>
      <c r="G735" s="1">
        <v>45689</v>
      </c>
      <c r="H735" t="s">
        <v>12</v>
      </c>
      <c r="I735" t="s">
        <v>3</v>
      </c>
      <c r="J735">
        <v>3</v>
      </c>
      <c r="K735" t="s">
        <v>4</v>
      </c>
      <c r="L735" t="s">
        <v>40</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5">
      <c r="A736" t="s">
        <v>814</v>
      </c>
      <c r="B736" t="s">
        <v>31</v>
      </c>
      <c r="C736">
        <v>2</v>
      </c>
      <c r="D736">
        <v>54.6</v>
      </c>
      <c r="E736">
        <v>109.2</v>
      </c>
      <c r="F736" s="1">
        <v>45689</v>
      </c>
      <c r="G736" s="1">
        <v>45690</v>
      </c>
      <c r="H736" t="s">
        <v>12</v>
      </c>
      <c r="I736" t="s">
        <v>25</v>
      </c>
      <c r="J736">
        <v>4</v>
      </c>
      <c r="K736" t="s">
        <v>4</v>
      </c>
      <c r="L736" t="s">
        <v>40</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5">
      <c r="A737" t="s">
        <v>815</v>
      </c>
      <c r="B737" t="s">
        <v>29</v>
      </c>
      <c r="C737">
        <v>2</v>
      </c>
      <c r="D737">
        <v>35.700000000000003</v>
      </c>
      <c r="E737">
        <v>71.400000000000006</v>
      </c>
      <c r="F737" s="1">
        <v>45689</v>
      </c>
      <c r="G737" s="1">
        <v>45692</v>
      </c>
      <c r="H737" t="s">
        <v>2</v>
      </c>
      <c r="I737" t="s">
        <v>3</v>
      </c>
      <c r="J737">
        <v>3</v>
      </c>
      <c r="K737" t="s">
        <v>4</v>
      </c>
      <c r="L737" t="s">
        <v>40</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5">
      <c r="A738" t="s">
        <v>816</v>
      </c>
      <c r="B738" t="s">
        <v>39</v>
      </c>
      <c r="C738">
        <v>2</v>
      </c>
      <c r="D738">
        <v>52.4</v>
      </c>
      <c r="E738">
        <v>104.8</v>
      </c>
      <c r="F738" s="1">
        <v>45689</v>
      </c>
      <c r="G738" s="1">
        <v>45689</v>
      </c>
      <c r="H738" t="s">
        <v>12</v>
      </c>
      <c r="I738" t="s">
        <v>3</v>
      </c>
      <c r="J738">
        <v>1</v>
      </c>
      <c r="K738" t="s">
        <v>4</v>
      </c>
      <c r="L738" t="s">
        <v>40</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5">
      <c r="A739" t="s">
        <v>817</v>
      </c>
      <c r="B739" t="s">
        <v>29</v>
      </c>
      <c r="C739">
        <v>14</v>
      </c>
      <c r="D739">
        <v>16.2</v>
      </c>
      <c r="E739">
        <v>226.79999999999998</v>
      </c>
      <c r="F739" s="1">
        <v>45689</v>
      </c>
      <c r="G739" s="1">
        <v>45690</v>
      </c>
      <c r="H739" t="s">
        <v>2</v>
      </c>
      <c r="I739" t="s">
        <v>3</v>
      </c>
      <c r="J739">
        <v>3</v>
      </c>
      <c r="K739" t="s">
        <v>4</v>
      </c>
      <c r="L739" t="s">
        <v>47</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5">
      <c r="A740" t="s">
        <v>818</v>
      </c>
      <c r="B740" t="s">
        <v>24</v>
      </c>
      <c r="C740">
        <v>47</v>
      </c>
      <c r="D740">
        <v>42.8</v>
      </c>
      <c r="E740">
        <v>2011.6</v>
      </c>
      <c r="F740" s="1">
        <v>45689</v>
      </c>
      <c r="G740" s="1">
        <v>45690</v>
      </c>
      <c r="H740" t="s">
        <v>12</v>
      </c>
      <c r="I740" t="s">
        <v>3</v>
      </c>
      <c r="J740">
        <v>4</v>
      </c>
      <c r="K740" t="s">
        <v>4</v>
      </c>
      <c r="L740" t="s">
        <v>47</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5">
      <c r="A741" t="s">
        <v>819</v>
      </c>
      <c r="B741" t="s">
        <v>24</v>
      </c>
      <c r="C741">
        <v>9</v>
      </c>
      <c r="D741">
        <v>144.4</v>
      </c>
      <c r="E741">
        <v>1299.6000000000001</v>
      </c>
      <c r="F741" s="1">
        <v>45689</v>
      </c>
      <c r="G741" s="1">
        <v>45692</v>
      </c>
      <c r="H741" t="s">
        <v>12</v>
      </c>
      <c r="I741" t="s">
        <v>55</v>
      </c>
      <c r="J741">
        <v>4</v>
      </c>
      <c r="K741" t="s">
        <v>4</v>
      </c>
      <c r="L741" t="s">
        <v>47</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5">
      <c r="A742" t="s">
        <v>820</v>
      </c>
      <c r="B742" t="s">
        <v>15</v>
      </c>
      <c r="C742">
        <v>36</v>
      </c>
      <c r="D742">
        <v>30.6</v>
      </c>
      <c r="E742">
        <v>1101.6000000000001</v>
      </c>
      <c r="F742" s="1">
        <v>45689</v>
      </c>
      <c r="G742" s="1">
        <v>45693</v>
      </c>
      <c r="H742" t="s">
        <v>12</v>
      </c>
      <c r="I742" t="s">
        <v>25</v>
      </c>
      <c r="J742">
        <v>5</v>
      </c>
      <c r="K742" t="s">
        <v>4</v>
      </c>
      <c r="L742" t="s">
        <v>62</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5">
      <c r="A743" t="s">
        <v>821</v>
      </c>
      <c r="B743" t="s">
        <v>11</v>
      </c>
      <c r="C743">
        <v>2</v>
      </c>
      <c r="D743">
        <v>117.5</v>
      </c>
      <c r="E743">
        <v>235</v>
      </c>
      <c r="F743" s="1">
        <v>45689</v>
      </c>
      <c r="G743" s="1">
        <v>45690</v>
      </c>
      <c r="H743" t="s">
        <v>8</v>
      </c>
      <c r="I743" t="s">
        <v>3</v>
      </c>
      <c r="J743">
        <v>4</v>
      </c>
      <c r="K743" t="s">
        <v>4</v>
      </c>
      <c r="L743" t="s">
        <v>95</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5">
      <c r="A744" t="s">
        <v>822</v>
      </c>
      <c r="B744" t="s">
        <v>24</v>
      </c>
      <c r="C744">
        <v>2</v>
      </c>
      <c r="D744">
        <v>105.7</v>
      </c>
      <c r="E744">
        <v>211.4</v>
      </c>
      <c r="F744" s="1">
        <v>45689</v>
      </c>
      <c r="G744" s="1">
        <v>45690</v>
      </c>
      <c r="H744" t="s">
        <v>12</v>
      </c>
      <c r="I744" t="s">
        <v>25</v>
      </c>
      <c r="J744">
        <v>5</v>
      </c>
      <c r="K744" t="s">
        <v>4</v>
      </c>
      <c r="L744" t="s">
        <v>100</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5">
      <c r="A745" t="s">
        <v>823</v>
      </c>
      <c r="B745" t="s">
        <v>15</v>
      </c>
      <c r="C745">
        <v>3</v>
      </c>
      <c r="D745">
        <v>133.69999999999999</v>
      </c>
      <c r="E745">
        <v>401.09999999999997</v>
      </c>
      <c r="F745" s="1">
        <v>45689</v>
      </c>
      <c r="G745" s="1">
        <v>45690</v>
      </c>
      <c r="H745" t="s">
        <v>2</v>
      </c>
      <c r="I745" t="s">
        <v>55</v>
      </c>
      <c r="J745">
        <v>5</v>
      </c>
      <c r="K745" t="s">
        <v>4</v>
      </c>
      <c r="L745" t="s">
        <v>100</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5">
      <c r="A746" t="s">
        <v>824</v>
      </c>
      <c r="B746" t="s">
        <v>17</v>
      </c>
      <c r="C746">
        <v>5</v>
      </c>
      <c r="D746">
        <v>46.8</v>
      </c>
      <c r="E746">
        <v>234</v>
      </c>
      <c r="F746" s="1">
        <v>45690</v>
      </c>
      <c r="G746" s="1">
        <v>45698</v>
      </c>
      <c r="H746" t="s">
        <v>12</v>
      </c>
      <c r="I746" t="s">
        <v>3</v>
      </c>
      <c r="J746">
        <v>3</v>
      </c>
      <c r="K746" t="s">
        <v>4</v>
      </c>
      <c r="L746" t="s">
        <v>100</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5">
      <c r="A747" t="s">
        <v>825</v>
      </c>
      <c r="B747" t="s">
        <v>39</v>
      </c>
      <c r="C747">
        <v>3</v>
      </c>
      <c r="D747">
        <v>58.4</v>
      </c>
      <c r="E747">
        <v>175.2</v>
      </c>
      <c r="F747" s="1">
        <v>45690</v>
      </c>
      <c r="G747" s="1">
        <v>45692</v>
      </c>
      <c r="H747" t="s">
        <v>12</v>
      </c>
      <c r="I747" t="s">
        <v>3</v>
      </c>
      <c r="J747">
        <v>4</v>
      </c>
      <c r="K747" t="s">
        <v>4</v>
      </c>
      <c r="L747" t="s">
        <v>9</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5">
      <c r="A748" t="s">
        <v>826</v>
      </c>
      <c r="B748" t="s">
        <v>24</v>
      </c>
      <c r="C748">
        <v>9</v>
      </c>
      <c r="D748">
        <v>65.099999999999994</v>
      </c>
      <c r="E748">
        <v>585.9</v>
      </c>
      <c r="F748" s="1">
        <v>45690</v>
      </c>
      <c r="G748" s="1">
        <v>45694</v>
      </c>
      <c r="H748" t="s">
        <v>8</v>
      </c>
      <c r="I748" t="s">
        <v>20</v>
      </c>
      <c r="J748">
        <v>5</v>
      </c>
      <c r="K748" t="s">
        <v>4</v>
      </c>
      <c r="L748" t="s">
        <v>132</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5">
      <c r="A749" t="s">
        <v>827</v>
      </c>
      <c r="B749" t="s">
        <v>29</v>
      </c>
      <c r="C749">
        <v>1</v>
      </c>
      <c r="D749">
        <v>18.600000000000001</v>
      </c>
      <c r="E749">
        <v>18.600000000000001</v>
      </c>
      <c r="F749" s="1">
        <v>45690</v>
      </c>
      <c r="G749" s="1">
        <v>45693</v>
      </c>
      <c r="H749" t="s">
        <v>12</v>
      </c>
      <c r="I749" t="s">
        <v>3</v>
      </c>
      <c r="J749">
        <v>2</v>
      </c>
      <c r="K749" t="s">
        <v>4</v>
      </c>
      <c r="L749" t="s">
        <v>132</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5">
      <c r="A750" t="s">
        <v>828</v>
      </c>
      <c r="B750" t="s">
        <v>7</v>
      </c>
      <c r="C750">
        <v>11</v>
      </c>
      <c r="D750">
        <v>92.3</v>
      </c>
      <c r="E750">
        <v>1015.3</v>
      </c>
      <c r="F750" s="1">
        <v>45690</v>
      </c>
      <c r="G750" s="1">
        <v>45692</v>
      </c>
      <c r="H750" t="s">
        <v>8</v>
      </c>
      <c r="I750" t="s">
        <v>20</v>
      </c>
      <c r="J750">
        <v>4</v>
      </c>
      <c r="K750" t="s">
        <v>4</v>
      </c>
      <c r="L750" t="s">
        <v>18</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5">
      <c r="A751" t="s">
        <v>829</v>
      </c>
      <c r="B751" t="s">
        <v>24</v>
      </c>
      <c r="C751">
        <v>3</v>
      </c>
      <c r="D751">
        <v>81.7</v>
      </c>
      <c r="E751">
        <v>245.10000000000002</v>
      </c>
      <c r="F751" s="1">
        <v>45690</v>
      </c>
      <c r="G751" s="1">
        <v>45691</v>
      </c>
      <c r="H751" t="s">
        <v>2</v>
      </c>
      <c r="I751" t="s">
        <v>55</v>
      </c>
      <c r="J751">
        <v>2</v>
      </c>
      <c r="K751" t="s">
        <v>4</v>
      </c>
      <c r="L751" t="s">
        <v>18</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5">
      <c r="A752" t="s">
        <v>830</v>
      </c>
      <c r="B752" t="s">
        <v>29</v>
      </c>
      <c r="C752">
        <v>2</v>
      </c>
      <c r="D752">
        <v>40.9</v>
      </c>
      <c r="E752">
        <v>81.8</v>
      </c>
      <c r="F752" s="1">
        <v>45690</v>
      </c>
      <c r="G752" s="1">
        <v>45692</v>
      </c>
      <c r="H752" t="s">
        <v>8</v>
      </c>
      <c r="I752" t="s">
        <v>3</v>
      </c>
      <c r="J752">
        <v>3</v>
      </c>
      <c r="K752" t="s">
        <v>4</v>
      </c>
      <c r="L752" t="s">
        <v>18</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5">
      <c r="A753" t="s">
        <v>831</v>
      </c>
      <c r="B753" t="s">
        <v>24</v>
      </c>
      <c r="C753">
        <v>4</v>
      </c>
      <c r="D753">
        <v>43.2</v>
      </c>
      <c r="E753">
        <v>172.8</v>
      </c>
      <c r="F753" s="1">
        <v>45690</v>
      </c>
      <c r="G753" s="1">
        <v>45696</v>
      </c>
      <c r="H753" t="s">
        <v>12</v>
      </c>
      <c r="I753" t="s">
        <v>3</v>
      </c>
      <c r="J753">
        <v>3</v>
      </c>
      <c r="K753" t="s">
        <v>4</v>
      </c>
      <c r="L753" t="s">
        <v>18</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5">
      <c r="A754" t="s">
        <v>832</v>
      </c>
      <c r="B754" t="s">
        <v>29</v>
      </c>
      <c r="C754">
        <v>11</v>
      </c>
      <c r="D754">
        <v>25.8</v>
      </c>
      <c r="E754">
        <v>283.8</v>
      </c>
      <c r="F754" s="1">
        <v>45690</v>
      </c>
      <c r="G754" s="1">
        <v>45693</v>
      </c>
      <c r="H754" t="s">
        <v>8</v>
      </c>
      <c r="I754" t="s">
        <v>25</v>
      </c>
      <c r="J754">
        <v>3</v>
      </c>
      <c r="K754" t="s">
        <v>4</v>
      </c>
      <c r="L754" t="s">
        <v>18</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5">
      <c r="A755" t="s">
        <v>833</v>
      </c>
      <c r="B755" t="s">
        <v>108</v>
      </c>
      <c r="C755">
        <v>4</v>
      </c>
      <c r="D755">
        <v>36.4</v>
      </c>
      <c r="E755">
        <v>145.6</v>
      </c>
      <c r="F755" s="1">
        <v>45690</v>
      </c>
      <c r="G755" s="1">
        <v>45691</v>
      </c>
      <c r="H755" t="s">
        <v>8</v>
      </c>
      <c r="I755" t="s">
        <v>3</v>
      </c>
      <c r="J755">
        <v>4</v>
      </c>
      <c r="K755" t="s">
        <v>4</v>
      </c>
      <c r="L755" t="s">
        <v>18</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5">
      <c r="A756" t="s">
        <v>834</v>
      </c>
      <c r="B756" t="s">
        <v>39</v>
      </c>
      <c r="C756">
        <v>1</v>
      </c>
      <c r="D756">
        <v>59.1</v>
      </c>
      <c r="E756">
        <v>59.1</v>
      </c>
      <c r="F756" s="1">
        <v>45690</v>
      </c>
      <c r="G756" s="1">
        <v>45691</v>
      </c>
      <c r="H756" t="s">
        <v>12</v>
      </c>
      <c r="I756" t="s">
        <v>25</v>
      </c>
      <c r="J756">
        <v>4</v>
      </c>
      <c r="K756" t="s">
        <v>4</v>
      </c>
      <c r="L756" t="s">
        <v>44</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5">
      <c r="A757" t="s">
        <v>835</v>
      </c>
      <c r="B757" t="s">
        <v>11</v>
      </c>
      <c r="C757">
        <v>17</v>
      </c>
      <c r="D757">
        <v>74.5</v>
      </c>
      <c r="E757">
        <v>1266.5</v>
      </c>
      <c r="F757" s="1">
        <v>45690</v>
      </c>
      <c r="G757" s="1">
        <v>45692</v>
      </c>
      <c r="H757" t="s">
        <v>8</v>
      </c>
      <c r="I757" t="s">
        <v>55</v>
      </c>
      <c r="J757">
        <v>4</v>
      </c>
      <c r="K757" t="s">
        <v>4</v>
      </c>
      <c r="L757" t="s">
        <v>93</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5">
      <c r="A758" t="s">
        <v>836</v>
      </c>
      <c r="B758" t="s">
        <v>22</v>
      </c>
      <c r="C758">
        <v>1</v>
      </c>
      <c r="D758">
        <v>72.8</v>
      </c>
      <c r="E758">
        <v>72.8</v>
      </c>
      <c r="F758" s="1">
        <v>45690</v>
      </c>
      <c r="G758" s="1">
        <v>45691</v>
      </c>
      <c r="H758" t="s">
        <v>12</v>
      </c>
      <c r="I758" t="s">
        <v>3</v>
      </c>
      <c r="J758">
        <v>3</v>
      </c>
      <c r="K758" t="s">
        <v>4</v>
      </c>
      <c r="L758" t="s">
        <v>95</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5">
      <c r="A759" t="s">
        <v>837</v>
      </c>
      <c r="B759" t="s">
        <v>24</v>
      </c>
      <c r="C759">
        <v>4</v>
      </c>
      <c r="D759">
        <v>137.30000000000001</v>
      </c>
      <c r="E759">
        <v>549.20000000000005</v>
      </c>
      <c r="F759" s="1">
        <v>45690</v>
      </c>
      <c r="G759" s="1">
        <v>45693</v>
      </c>
      <c r="H759" t="s">
        <v>12</v>
      </c>
      <c r="I759" t="s">
        <v>3</v>
      </c>
      <c r="J759">
        <v>4</v>
      </c>
      <c r="K759" t="s">
        <v>4</v>
      </c>
      <c r="L759" t="s">
        <v>67</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5">
      <c r="A760" t="s">
        <v>838</v>
      </c>
      <c r="B760" t="s">
        <v>7</v>
      </c>
      <c r="C760">
        <v>3</v>
      </c>
      <c r="D760">
        <v>48.7</v>
      </c>
      <c r="E760">
        <v>146.10000000000002</v>
      </c>
      <c r="F760" s="1">
        <v>45690</v>
      </c>
      <c r="G760" s="1">
        <v>45695</v>
      </c>
      <c r="H760" t="s">
        <v>12</v>
      </c>
      <c r="I760" t="s">
        <v>3</v>
      </c>
      <c r="J760">
        <v>3</v>
      </c>
      <c r="K760" t="s">
        <v>4</v>
      </c>
      <c r="L760" t="s">
        <v>100</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5">
      <c r="A761" t="s">
        <v>839</v>
      </c>
      <c r="B761" t="s">
        <v>24</v>
      </c>
      <c r="C761">
        <v>4</v>
      </c>
      <c r="D761">
        <v>53.7</v>
      </c>
      <c r="E761">
        <v>214.8</v>
      </c>
      <c r="F761" s="1">
        <v>45690</v>
      </c>
      <c r="G761" s="1">
        <v>45694</v>
      </c>
      <c r="H761" t="s">
        <v>8</v>
      </c>
      <c r="I761" t="s">
        <v>20</v>
      </c>
      <c r="J761">
        <v>2</v>
      </c>
      <c r="K761" t="s">
        <v>4</v>
      </c>
      <c r="L761" t="s">
        <v>13</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5">
      <c r="A762" t="s">
        <v>840</v>
      </c>
      <c r="B762" t="s">
        <v>11</v>
      </c>
      <c r="C762">
        <v>7</v>
      </c>
      <c r="D762">
        <v>100.9</v>
      </c>
      <c r="E762">
        <v>706.30000000000007</v>
      </c>
      <c r="F762" s="1">
        <v>45690</v>
      </c>
      <c r="G762" s="1">
        <v>45692</v>
      </c>
      <c r="H762" t="s">
        <v>12</v>
      </c>
      <c r="I762" t="s">
        <v>3</v>
      </c>
      <c r="J762">
        <v>3</v>
      </c>
      <c r="K762" t="s">
        <v>4</v>
      </c>
      <c r="L762" t="s">
        <v>13</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5">
      <c r="A763" t="s">
        <v>841</v>
      </c>
      <c r="B763" t="s">
        <v>39</v>
      </c>
      <c r="C763">
        <v>2</v>
      </c>
      <c r="D763">
        <v>41.8</v>
      </c>
      <c r="E763">
        <v>83.6</v>
      </c>
      <c r="F763" s="1">
        <v>45690</v>
      </c>
      <c r="G763" s="1">
        <v>45694</v>
      </c>
      <c r="H763" t="s">
        <v>8</v>
      </c>
      <c r="I763" t="s">
        <v>36</v>
      </c>
      <c r="J763">
        <v>5</v>
      </c>
      <c r="K763" t="s">
        <v>4</v>
      </c>
      <c r="L763" t="s">
        <v>132</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5">
      <c r="A764" t="s">
        <v>842</v>
      </c>
      <c r="B764" t="s">
        <v>17</v>
      </c>
      <c r="C764">
        <v>8</v>
      </c>
      <c r="D764">
        <v>28.5</v>
      </c>
      <c r="E764">
        <v>228</v>
      </c>
      <c r="F764" s="1">
        <v>45690</v>
      </c>
      <c r="G764" s="1">
        <v>45692</v>
      </c>
      <c r="H764" t="s">
        <v>8</v>
      </c>
      <c r="I764" t="s">
        <v>25</v>
      </c>
      <c r="J764">
        <v>3</v>
      </c>
      <c r="K764" t="s">
        <v>4</v>
      </c>
      <c r="L764" t="s">
        <v>18</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5">
      <c r="A765" t="s">
        <v>843</v>
      </c>
      <c r="B765" t="s">
        <v>27</v>
      </c>
      <c r="C765">
        <v>4</v>
      </c>
      <c r="D765">
        <v>88.9</v>
      </c>
      <c r="E765">
        <v>355.6</v>
      </c>
      <c r="F765" s="1">
        <v>45690</v>
      </c>
      <c r="G765" s="1">
        <v>45693</v>
      </c>
      <c r="H765" t="s">
        <v>12</v>
      </c>
      <c r="I765" t="s">
        <v>3</v>
      </c>
      <c r="J765">
        <v>5</v>
      </c>
      <c r="K765" t="s">
        <v>4</v>
      </c>
      <c r="L765" t="s">
        <v>18</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5">
      <c r="A766" t="s">
        <v>844</v>
      </c>
      <c r="B766" t="s">
        <v>24</v>
      </c>
      <c r="C766">
        <v>1</v>
      </c>
      <c r="D766">
        <v>62.5</v>
      </c>
      <c r="E766">
        <v>62.5</v>
      </c>
      <c r="F766" s="1">
        <v>45690</v>
      </c>
      <c r="G766" s="1">
        <v>45699</v>
      </c>
      <c r="H766" t="s">
        <v>12</v>
      </c>
      <c r="I766" t="s">
        <v>3</v>
      </c>
      <c r="J766">
        <v>5</v>
      </c>
      <c r="K766" t="s">
        <v>4</v>
      </c>
      <c r="L766" t="s">
        <v>18</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5">
      <c r="A767" t="s">
        <v>845</v>
      </c>
      <c r="B767" t="s">
        <v>7</v>
      </c>
      <c r="C767">
        <v>3</v>
      </c>
      <c r="D767">
        <v>46.9</v>
      </c>
      <c r="E767">
        <v>140.69999999999999</v>
      </c>
      <c r="F767" s="1">
        <v>45690</v>
      </c>
      <c r="G767" s="1">
        <v>45691</v>
      </c>
      <c r="H767" t="s">
        <v>8</v>
      </c>
      <c r="I767" t="s">
        <v>3</v>
      </c>
      <c r="J767">
        <v>5</v>
      </c>
      <c r="K767" t="s">
        <v>4</v>
      </c>
      <c r="L767" t="s">
        <v>18</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5">
      <c r="A768" t="s">
        <v>846</v>
      </c>
      <c r="B768" t="s">
        <v>29</v>
      </c>
      <c r="C768">
        <v>3</v>
      </c>
      <c r="D768">
        <v>45</v>
      </c>
      <c r="E768">
        <v>135</v>
      </c>
      <c r="F768" s="1">
        <v>45690</v>
      </c>
      <c r="G768" s="1">
        <v>45704</v>
      </c>
      <c r="H768" t="s">
        <v>8</v>
      </c>
      <c r="I768" t="s">
        <v>20</v>
      </c>
      <c r="J768">
        <v>4</v>
      </c>
      <c r="K768" t="s">
        <v>4</v>
      </c>
      <c r="L768" t="s">
        <v>18</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5">
      <c r="A769" t="s">
        <v>847</v>
      </c>
      <c r="B769" t="s">
        <v>24</v>
      </c>
      <c r="C769">
        <v>3</v>
      </c>
      <c r="D769">
        <v>45.2</v>
      </c>
      <c r="E769">
        <v>135.60000000000002</v>
      </c>
      <c r="F769" s="1">
        <v>45690</v>
      </c>
      <c r="G769" s="1">
        <v>45692</v>
      </c>
      <c r="H769" t="s">
        <v>8</v>
      </c>
      <c r="I769" t="s">
        <v>55</v>
      </c>
      <c r="J769">
        <v>5</v>
      </c>
      <c r="K769" t="s">
        <v>4</v>
      </c>
      <c r="L769" t="s">
        <v>18</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5">
      <c r="A770" t="s">
        <v>848</v>
      </c>
      <c r="B770" t="s">
        <v>17</v>
      </c>
      <c r="C770">
        <v>2</v>
      </c>
      <c r="D770">
        <v>60.1</v>
      </c>
      <c r="E770">
        <v>120.2</v>
      </c>
      <c r="F770" s="1">
        <v>45690</v>
      </c>
      <c r="G770" s="1">
        <v>45691</v>
      </c>
      <c r="H770" t="s">
        <v>12</v>
      </c>
      <c r="I770" t="s">
        <v>3</v>
      </c>
      <c r="J770">
        <v>5</v>
      </c>
      <c r="K770" t="s">
        <v>4</v>
      </c>
      <c r="L770" t="s">
        <v>18</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5">
      <c r="A771" t="s">
        <v>849</v>
      </c>
      <c r="B771" t="s">
        <v>54</v>
      </c>
      <c r="C771">
        <v>4</v>
      </c>
      <c r="D771">
        <v>118.7</v>
      </c>
      <c r="E771">
        <v>474.8</v>
      </c>
      <c r="F771" s="1">
        <v>45690</v>
      </c>
      <c r="G771" s="1">
        <v>45692</v>
      </c>
      <c r="H771" t="s">
        <v>12</v>
      </c>
      <c r="I771" t="s">
        <v>3</v>
      </c>
      <c r="J771">
        <v>4</v>
      </c>
      <c r="K771" t="s">
        <v>4</v>
      </c>
      <c r="L771" t="s">
        <v>18</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5">
      <c r="A772" t="s">
        <v>850</v>
      </c>
      <c r="B772" t="s">
        <v>31</v>
      </c>
      <c r="C772">
        <v>1</v>
      </c>
      <c r="D772">
        <v>57.8</v>
      </c>
      <c r="E772">
        <v>57.8</v>
      </c>
      <c r="F772" s="1">
        <v>45690</v>
      </c>
      <c r="G772" s="1">
        <v>45699</v>
      </c>
      <c r="H772" t="s">
        <v>12</v>
      </c>
      <c r="I772" t="s">
        <v>20</v>
      </c>
      <c r="J772">
        <v>4</v>
      </c>
      <c r="K772" t="s">
        <v>4</v>
      </c>
      <c r="L772" t="s">
        <v>18</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5">
      <c r="A773" t="s">
        <v>851</v>
      </c>
      <c r="B773" t="s">
        <v>17</v>
      </c>
      <c r="C773">
        <v>1</v>
      </c>
      <c r="D773">
        <v>19.5</v>
      </c>
      <c r="E773">
        <v>19.5</v>
      </c>
      <c r="F773" s="1">
        <v>45690</v>
      </c>
      <c r="G773" s="1">
        <v>45691</v>
      </c>
      <c r="H773" t="s">
        <v>8</v>
      </c>
      <c r="I773" t="s">
        <v>20</v>
      </c>
      <c r="J773">
        <v>3</v>
      </c>
      <c r="K773" t="s">
        <v>4</v>
      </c>
      <c r="L773" t="s">
        <v>18</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5">
      <c r="A774" t="s">
        <v>852</v>
      </c>
      <c r="B774" t="s">
        <v>54</v>
      </c>
      <c r="C774">
        <v>1</v>
      </c>
      <c r="D774">
        <v>42.6</v>
      </c>
      <c r="E774">
        <v>42.6</v>
      </c>
      <c r="F774" s="1">
        <v>45690</v>
      </c>
      <c r="G774" s="1">
        <v>45691</v>
      </c>
      <c r="H774" t="s">
        <v>8</v>
      </c>
      <c r="I774" t="s">
        <v>3</v>
      </c>
      <c r="J774">
        <v>3</v>
      </c>
      <c r="K774" t="s">
        <v>4</v>
      </c>
      <c r="L774" t="s">
        <v>18</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5">
      <c r="A775" t="s">
        <v>853</v>
      </c>
      <c r="B775" t="s">
        <v>24</v>
      </c>
      <c r="C775">
        <v>2</v>
      </c>
      <c r="D775">
        <v>74.8</v>
      </c>
      <c r="E775">
        <v>149.6</v>
      </c>
      <c r="F775" s="1">
        <v>45690</v>
      </c>
      <c r="G775" s="1">
        <v>45691</v>
      </c>
      <c r="H775" t="s">
        <v>12</v>
      </c>
      <c r="I775" t="s">
        <v>36</v>
      </c>
      <c r="J775">
        <v>5</v>
      </c>
      <c r="K775" t="s">
        <v>4</v>
      </c>
      <c r="L775" t="s">
        <v>349</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5">
      <c r="A776" t="s">
        <v>854</v>
      </c>
      <c r="B776" t="s">
        <v>29</v>
      </c>
      <c r="C776">
        <v>3</v>
      </c>
      <c r="D776">
        <v>32.5</v>
      </c>
      <c r="E776">
        <v>97.5</v>
      </c>
      <c r="F776" s="1">
        <v>45690</v>
      </c>
      <c r="G776" s="1">
        <v>45691</v>
      </c>
      <c r="H776" t="s">
        <v>8</v>
      </c>
      <c r="I776" t="s">
        <v>25</v>
      </c>
      <c r="J776">
        <v>2</v>
      </c>
      <c r="K776" t="s">
        <v>4</v>
      </c>
      <c r="L776" t="s">
        <v>83</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5">
      <c r="A777" t="s">
        <v>855</v>
      </c>
      <c r="B777" t="s">
        <v>11</v>
      </c>
      <c r="C777">
        <v>3</v>
      </c>
      <c r="D777">
        <v>60.5</v>
      </c>
      <c r="E777">
        <v>181.5</v>
      </c>
      <c r="F777" s="1">
        <v>45690</v>
      </c>
      <c r="G777" s="1">
        <v>45690</v>
      </c>
      <c r="H777" t="s">
        <v>12</v>
      </c>
      <c r="I777" t="s">
        <v>20</v>
      </c>
      <c r="J777">
        <v>5</v>
      </c>
      <c r="K777" t="s">
        <v>4</v>
      </c>
      <c r="L777" t="s">
        <v>173</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5">
      <c r="A778" t="s">
        <v>856</v>
      </c>
      <c r="B778" t="s">
        <v>7</v>
      </c>
      <c r="C778">
        <v>7</v>
      </c>
      <c r="D778">
        <v>57.2</v>
      </c>
      <c r="E778">
        <v>400.40000000000003</v>
      </c>
      <c r="F778" s="1">
        <v>45690</v>
      </c>
      <c r="G778" s="1">
        <v>45692</v>
      </c>
      <c r="H778" t="s">
        <v>2</v>
      </c>
      <c r="I778" t="s">
        <v>25</v>
      </c>
      <c r="J778">
        <v>4</v>
      </c>
      <c r="K778" t="s">
        <v>4</v>
      </c>
      <c r="L778" t="s">
        <v>173</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5">
      <c r="A779" t="s">
        <v>857</v>
      </c>
      <c r="B779" t="s">
        <v>113</v>
      </c>
      <c r="C779">
        <v>2</v>
      </c>
      <c r="D779">
        <v>112</v>
      </c>
      <c r="E779">
        <v>224</v>
      </c>
      <c r="F779" s="1">
        <v>45690</v>
      </c>
      <c r="G779" s="1">
        <v>45691</v>
      </c>
      <c r="H779" t="s">
        <v>12</v>
      </c>
      <c r="I779" t="s">
        <v>20</v>
      </c>
      <c r="J779">
        <v>3</v>
      </c>
      <c r="K779" t="s">
        <v>4</v>
      </c>
      <c r="L779" t="s">
        <v>37</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5">
      <c r="A780" t="s">
        <v>858</v>
      </c>
      <c r="B780" t="s">
        <v>27</v>
      </c>
      <c r="C780">
        <v>10</v>
      </c>
      <c r="D780">
        <v>49</v>
      </c>
      <c r="E780">
        <v>490</v>
      </c>
      <c r="F780" s="1">
        <v>45690</v>
      </c>
      <c r="G780" s="1">
        <v>45691</v>
      </c>
      <c r="H780" t="s">
        <v>74</v>
      </c>
      <c r="I780" t="s">
        <v>25</v>
      </c>
      <c r="J780">
        <v>3</v>
      </c>
      <c r="K780" t="s">
        <v>4</v>
      </c>
      <c r="L780" t="s">
        <v>40</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5">
      <c r="A781" t="s">
        <v>859</v>
      </c>
      <c r="B781" t="s">
        <v>1</v>
      </c>
      <c r="C781">
        <v>2</v>
      </c>
      <c r="D781">
        <v>33.700000000000003</v>
      </c>
      <c r="E781">
        <v>67.400000000000006</v>
      </c>
      <c r="F781" s="1">
        <v>45690</v>
      </c>
      <c r="G781" s="1">
        <v>45694</v>
      </c>
      <c r="H781" t="s">
        <v>12</v>
      </c>
      <c r="I781" t="s">
        <v>36</v>
      </c>
      <c r="J781">
        <v>4</v>
      </c>
      <c r="K781" t="s">
        <v>4</v>
      </c>
      <c r="L781" t="s">
        <v>40</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5">
      <c r="A782" t="s">
        <v>860</v>
      </c>
      <c r="B782" t="s">
        <v>17</v>
      </c>
      <c r="C782">
        <v>3</v>
      </c>
      <c r="D782">
        <v>35.6</v>
      </c>
      <c r="E782">
        <v>106.80000000000001</v>
      </c>
      <c r="F782" s="1">
        <v>45690</v>
      </c>
      <c r="G782" s="1">
        <v>45693</v>
      </c>
      <c r="H782" t="s">
        <v>12</v>
      </c>
      <c r="I782" t="s">
        <v>3</v>
      </c>
      <c r="J782">
        <v>5</v>
      </c>
      <c r="K782" t="s">
        <v>4</v>
      </c>
      <c r="L782" t="s">
        <v>40</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5">
      <c r="A783" t="s">
        <v>861</v>
      </c>
      <c r="B783" t="s">
        <v>17</v>
      </c>
      <c r="C783">
        <v>35</v>
      </c>
      <c r="D783">
        <v>30.4</v>
      </c>
      <c r="E783">
        <v>1064</v>
      </c>
      <c r="F783" s="1">
        <v>45691</v>
      </c>
      <c r="G783" s="1">
        <v>45691</v>
      </c>
      <c r="H783" t="s">
        <v>12</v>
      </c>
      <c r="I783" t="s">
        <v>3</v>
      </c>
      <c r="J783">
        <v>3</v>
      </c>
      <c r="K783" t="s">
        <v>4</v>
      </c>
      <c r="L783" t="s">
        <v>44</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5">
      <c r="A784" t="s">
        <v>862</v>
      </c>
      <c r="B784" t="s">
        <v>39</v>
      </c>
      <c r="C784">
        <v>12</v>
      </c>
      <c r="D784">
        <v>50.2</v>
      </c>
      <c r="E784">
        <v>602.40000000000009</v>
      </c>
      <c r="F784" s="1">
        <v>45691</v>
      </c>
      <c r="G784" s="1">
        <v>45692</v>
      </c>
      <c r="H784" t="s">
        <v>8</v>
      </c>
      <c r="I784" t="s">
        <v>55</v>
      </c>
      <c r="J784">
        <v>4</v>
      </c>
      <c r="K784" t="s">
        <v>4</v>
      </c>
      <c r="L784" t="s">
        <v>47</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5">
      <c r="A785" t="s">
        <v>863</v>
      </c>
      <c r="B785" t="s">
        <v>7</v>
      </c>
      <c r="C785">
        <v>2</v>
      </c>
      <c r="D785">
        <v>43.7</v>
      </c>
      <c r="E785">
        <v>87.4</v>
      </c>
      <c r="F785" s="1">
        <v>45691</v>
      </c>
      <c r="G785" s="1">
        <v>45693</v>
      </c>
      <c r="H785" t="s">
        <v>12</v>
      </c>
      <c r="I785" t="s">
        <v>3</v>
      </c>
      <c r="J785">
        <v>4</v>
      </c>
      <c r="K785" t="s">
        <v>4</v>
      </c>
      <c r="L785" t="s">
        <v>47</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5">
      <c r="A786" t="s">
        <v>864</v>
      </c>
      <c r="B786" t="s">
        <v>39</v>
      </c>
      <c r="C786">
        <v>1</v>
      </c>
      <c r="D786">
        <v>33.299999999999997</v>
      </c>
      <c r="E786">
        <v>33.299999999999997</v>
      </c>
      <c r="F786" s="1">
        <v>45691</v>
      </c>
      <c r="G786" s="1">
        <v>45692</v>
      </c>
      <c r="H786" t="s">
        <v>12</v>
      </c>
      <c r="I786" t="s">
        <v>25</v>
      </c>
      <c r="J786">
        <v>3</v>
      </c>
      <c r="K786" t="s">
        <v>4</v>
      </c>
      <c r="L786" t="s">
        <v>47</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5">
      <c r="A787" t="s">
        <v>865</v>
      </c>
      <c r="B787" t="s">
        <v>29</v>
      </c>
      <c r="C787">
        <v>4</v>
      </c>
      <c r="D787">
        <v>15.1</v>
      </c>
      <c r="E787">
        <v>60.4</v>
      </c>
      <c r="F787" s="1">
        <v>45691</v>
      </c>
      <c r="G787" s="1">
        <v>45693</v>
      </c>
      <c r="H787" t="s">
        <v>12</v>
      </c>
      <c r="I787" t="s">
        <v>55</v>
      </c>
      <c r="J787">
        <v>5</v>
      </c>
      <c r="K787" t="s">
        <v>4</v>
      </c>
      <c r="L787" t="s">
        <v>47</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5">
      <c r="A788" t="s">
        <v>866</v>
      </c>
      <c r="B788" t="s">
        <v>24</v>
      </c>
      <c r="C788">
        <v>5</v>
      </c>
      <c r="D788">
        <v>118.2</v>
      </c>
      <c r="E788">
        <v>591</v>
      </c>
      <c r="F788" s="1">
        <v>45691</v>
      </c>
      <c r="G788" s="1">
        <v>45692</v>
      </c>
      <c r="H788" t="s">
        <v>12</v>
      </c>
      <c r="I788" t="s">
        <v>36</v>
      </c>
      <c r="J788">
        <v>2</v>
      </c>
      <c r="K788" t="s">
        <v>4</v>
      </c>
      <c r="L788" t="s">
        <v>47</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5">
      <c r="A789" t="s">
        <v>867</v>
      </c>
      <c r="B789" t="s">
        <v>39</v>
      </c>
      <c r="C789">
        <v>3</v>
      </c>
      <c r="D789">
        <v>28.9</v>
      </c>
      <c r="E789">
        <v>86.699999999999989</v>
      </c>
      <c r="F789" s="1">
        <v>45691</v>
      </c>
      <c r="G789" s="1">
        <v>45693</v>
      </c>
      <c r="H789" t="s">
        <v>12</v>
      </c>
      <c r="I789" t="s">
        <v>25</v>
      </c>
      <c r="J789">
        <v>3</v>
      </c>
      <c r="K789" t="s">
        <v>4</v>
      </c>
      <c r="L789" t="s">
        <v>47</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5">
      <c r="A790" t="s">
        <v>868</v>
      </c>
      <c r="B790" t="s">
        <v>17</v>
      </c>
      <c r="C790">
        <v>3</v>
      </c>
      <c r="D790">
        <v>55.6</v>
      </c>
      <c r="E790">
        <v>166.8</v>
      </c>
      <c r="F790" s="1">
        <v>45691</v>
      </c>
      <c r="G790" s="1">
        <v>45692</v>
      </c>
      <c r="H790" t="s">
        <v>8</v>
      </c>
      <c r="I790" t="s">
        <v>3</v>
      </c>
      <c r="J790">
        <v>3</v>
      </c>
      <c r="K790" t="s">
        <v>4</v>
      </c>
      <c r="L790" t="s">
        <v>47</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5">
      <c r="A791" t="s">
        <v>869</v>
      </c>
      <c r="B791" t="s">
        <v>31</v>
      </c>
      <c r="C791">
        <v>4</v>
      </c>
      <c r="D791">
        <v>25.6</v>
      </c>
      <c r="E791">
        <v>102.4</v>
      </c>
      <c r="F791" s="1">
        <v>45691</v>
      </c>
      <c r="G791" s="1">
        <v>45693</v>
      </c>
      <c r="H791" t="s">
        <v>12</v>
      </c>
      <c r="I791" t="s">
        <v>3</v>
      </c>
      <c r="J791">
        <v>3</v>
      </c>
      <c r="K791" t="s">
        <v>4</v>
      </c>
      <c r="L791" t="s">
        <v>47</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5">
      <c r="A792" t="s">
        <v>870</v>
      </c>
      <c r="B792" t="s">
        <v>27</v>
      </c>
      <c r="C792">
        <v>3</v>
      </c>
      <c r="D792">
        <v>31.3</v>
      </c>
      <c r="E792">
        <v>93.9</v>
      </c>
      <c r="F792" s="1">
        <v>45691</v>
      </c>
      <c r="G792" s="1">
        <v>45692</v>
      </c>
      <c r="H792" t="s">
        <v>8</v>
      </c>
      <c r="I792" t="s">
        <v>3</v>
      </c>
      <c r="J792">
        <v>4</v>
      </c>
      <c r="K792" t="s">
        <v>4</v>
      </c>
      <c r="L792" t="s">
        <v>88</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5">
      <c r="A793" t="s">
        <v>871</v>
      </c>
      <c r="B793" t="s">
        <v>1</v>
      </c>
      <c r="C793">
        <v>3</v>
      </c>
      <c r="D793">
        <v>22.1</v>
      </c>
      <c r="E793">
        <v>66.300000000000011</v>
      </c>
      <c r="F793" s="1">
        <v>45691</v>
      </c>
      <c r="G793" s="1">
        <v>45695</v>
      </c>
      <c r="H793" t="s">
        <v>8</v>
      </c>
      <c r="I793" t="s">
        <v>3</v>
      </c>
      <c r="J793">
        <v>4</v>
      </c>
      <c r="K793" t="s">
        <v>4</v>
      </c>
      <c r="L793" t="s">
        <v>88</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5">
      <c r="A794" t="s">
        <v>872</v>
      </c>
      <c r="B794" t="s">
        <v>11</v>
      </c>
      <c r="C794">
        <v>14</v>
      </c>
      <c r="D794">
        <v>99.4</v>
      </c>
      <c r="E794">
        <v>1391.6000000000001</v>
      </c>
      <c r="F794" s="1">
        <v>45691</v>
      </c>
      <c r="G794" s="1">
        <v>45692</v>
      </c>
      <c r="H794" t="s">
        <v>8</v>
      </c>
      <c r="I794" t="s">
        <v>20</v>
      </c>
      <c r="J794">
        <v>4</v>
      </c>
      <c r="K794" t="s">
        <v>4</v>
      </c>
      <c r="L794" t="s">
        <v>62</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5">
      <c r="A795" t="s">
        <v>873</v>
      </c>
      <c r="B795" t="s">
        <v>27</v>
      </c>
      <c r="C795">
        <v>6</v>
      </c>
      <c r="D795">
        <v>66.599999999999994</v>
      </c>
      <c r="E795">
        <v>399.59999999999997</v>
      </c>
      <c r="F795" s="1">
        <v>45691</v>
      </c>
      <c r="G795" s="1">
        <v>45692</v>
      </c>
      <c r="H795" t="s">
        <v>12</v>
      </c>
      <c r="I795" t="s">
        <v>3</v>
      </c>
      <c r="J795">
        <v>4</v>
      </c>
      <c r="K795" t="s">
        <v>4</v>
      </c>
      <c r="L795" t="s">
        <v>62</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5">
      <c r="A796" t="s">
        <v>874</v>
      </c>
      <c r="B796" t="s">
        <v>29</v>
      </c>
      <c r="C796">
        <v>2</v>
      </c>
      <c r="D796">
        <v>22.6</v>
      </c>
      <c r="E796">
        <v>45.2</v>
      </c>
      <c r="F796" s="1">
        <v>45691</v>
      </c>
      <c r="G796" s="1">
        <v>45694</v>
      </c>
      <c r="H796" t="s">
        <v>8</v>
      </c>
      <c r="I796" t="s">
        <v>3</v>
      </c>
      <c r="J796">
        <v>4</v>
      </c>
      <c r="K796" t="s">
        <v>4</v>
      </c>
      <c r="L796" t="s">
        <v>62</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5">
      <c r="A797" t="s">
        <v>875</v>
      </c>
      <c r="B797" t="s">
        <v>11</v>
      </c>
      <c r="C797">
        <v>18</v>
      </c>
      <c r="D797">
        <v>66.8</v>
      </c>
      <c r="E797">
        <v>1202.3999999999999</v>
      </c>
      <c r="F797" s="1">
        <v>45691</v>
      </c>
      <c r="G797" s="1">
        <v>45692</v>
      </c>
      <c r="H797" t="s">
        <v>12</v>
      </c>
      <c r="I797" t="s">
        <v>3</v>
      </c>
      <c r="J797">
        <v>2</v>
      </c>
      <c r="K797" t="s">
        <v>4</v>
      </c>
      <c r="L797" t="s">
        <v>67</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5">
      <c r="A798" t="s">
        <v>876</v>
      </c>
      <c r="B798" t="s">
        <v>1</v>
      </c>
      <c r="C798">
        <v>4</v>
      </c>
      <c r="D798">
        <v>20.8</v>
      </c>
      <c r="E798">
        <v>83.2</v>
      </c>
      <c r="F798" s="1">
        <v>45691</v>
      </c>
      <c r="G798" s="1">
        <v>45698</v>
      </c>
      <c r="H798" t="s">
        <v>8</v>
      </c>
      <c r="I798" t="s">
        <v>20</v>
      </c>
      <c r="J798">
        <v>2</v>
      </c>
      <c r="K798" t="s">
        <v>4</v>
      </c>
      <c r="L798" t="s">
        <v>9</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5">
      <c r="A799" t="s">
        <v>877</v>
      </c>
      <c r="B799" t="s">
        <v>11</v>
      </c>
      <c r="C799">
        <v>7</v>
      </c>
      <c r="D799">
        <v>102.5</v>
      </c>
      <c r="E799">
        <v>717.5</v>
      </c>
      <c r="F799" s="1">
        <v>45691</v>
      </c>
      <c r="G799" s="1">
        <v>45692</v>
      </c>
      <c r="H799" t="s">
        <v>12</v>
      </c>
      <c r="I799" t="s">
        <v>55</v>
      </c>
      <c r="J799">
        <v>5</v>
      </c>
      <c r="K799" t="s">
        <v>4</v>
      </c>
      <c r="L799" t="s">
        <v>18</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5">
      <c r="A800" t="s">
        <v>878</v>
      </c>
      <c r="B800" t="s">
        <v>1</v>
      </c>
      <c r="C800">
        <v>18</v>
      </c>
      <c r="D800">
        <v>24.8</v>
      </c>
      <c r="E800">
        <v>446.40000000000003</v>
      </c>
      <c r="F800" s="1">
        <v>45691</v>
      </c>
      <c r="G800" s="1">
        <v>45695</v>
      </c>
      <c r="H800" t="s">
        <v>12</v>
      </c>
      <c r="I800" t="s">
        <v>3</v>
      </c>
      <c r="J800">
        <v>4</v>
      </c>
      <c r="K800" t="s">
        <v>4</v>
      </c>
      <c r="L800" t="s">
        <v>18</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5">
      <c r="A801" t="s">
        <v>879</v>
      </c>
      <c r="B801" t="s">
        <v>17</v>
      </c>
      <c r="C801">
        <v>31</v>
      </c>
      <c r="D801">
        <v>31.4</v>
      </c>
      <c r="E801">
        <v>973.4</v>
      </c>
      <c r="F801" s="1">
        <v>45691</v>
      </c>
      <c r="G801" s="1">
        <v>45692</v>
      </c>
      <c r="H801" t="s">
        <v>12</v>
      </c>
      <c r="I801" t="s">
        <v>36</v>
      </c>
      <c r="J801">
        <v>4</v>
      </c>
      <c r="K801" t="s">
        <v>4</v>
      </c>
      <c r="L801" t="s">
        <v>18</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5">
      <c r="A802" t="s">
        <v>880</v>
      </c>
      <c r="B802" t="s">
        <v>31</v>
      </c>
      <c r="C802">
        <v>5</v>
      </c>
      <c r="D802">
        <v>59.3</v>
      </c>
      <c r="E802">
        <v>296.5</v>
      </c>
      <c r="F802" s="1">
        <v>45691</v>
      </c>
      <c r="G802" s="1">
        <v>45694</v>
      </c>
      <c r="H802" t="s">
        <v>8</v>
      </c>
      <c r="I802" t="s">
        <v>20</v>
      </c>
      <c r="J802">
        <v>5</v>
      </c>
      <c r="K802" t="s">
        <v>4</v>
      </c>
      <c r="L802" t="s">
        <v>530</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5">
      <c r="A803" t="s">
        <v>881</v>
      </c>
      <c r="B803" t="s">
        <v>52</v>
      </c>
      <c r="C803">
        <v>6</v>
      </c>
      <c r="D803">
        <v>39</v>
      </c>
      <c r="E803">
        <v>234</v>
      </c>
      <c r="F803" s="1">
        <v>45691</v>
      </c>
      <c r="G803" s="1">
        <v>45694</v>
      </c>
      <c r="H803" t="s">
        <v>8</v>
      </c>
      <c r="I803" t="s">
        <v>20</v>
      </c>
      <c r="J803">
        <v>4</v>
      </c>
      <c r="K803" t="s">
        <v>4</v>
      </c>
      <c r="L803" t="s">
        <v>40</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5">
      <c r="A804" t="s">
        <v>882</v>
      </c>
      <c r="B804" t="s">
        <v>22</v>
      </c>
      <c r="C804">
        <v>6</v>
      </c>
      <c r="D804">
        <v>98.6</v>
      </c>
      <c r="E804">
        <v>591.59999999999991</v>
      </c>
      <c r="F804" s="1">
        <v>45691</v>
      </c>
      <c r="G804" s="1">
        <v>45693</v>
      </c>
      <c r="H804" t="s">
        <v>12</v>
      </c>
      <c r="I804" t="s">
        <v>20</v>
      </c>
      <c r="J804">
        <v>4</v>
      </c>
      <c r="K804" t="s">
        <v>4</v>
      </c>
      <c r="L804" t="s">
        <v>40</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5">
      <c r="A805" t="s">
        <v>883</v>
      </c>
      <c r="B805" t="s">
        <v>29</v>
      </c>
      <c r="C805">
        <v>1</v>
      </c>
      <c r="D805">
        <v>20</v>
      </c>
      <c r="E805">
        <v>20</v>
      </c>
      <c r="F805" s="1">
        <v>45692</v>
      </c>
      <c r="G805" s="1">
        <v>45693</v>
      </c>
      <c r="H805" t="s">
        <v>8</v>
      </c>
      <c r="I805" t="s">
        <v>36</v>
      </c>
      <c r="J805">
        <v>5</v>
      </c>
      <c r="K805" t="s">
        <v>4</v>
      </c>
      <c r="L805" t="s">
        <v>47</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5">
      <c r="A806" t="s">
        <v>884</v>
      </c>
      <c r="B806" t="s">
        <v>7</v>
      </c>
      <c r="C806">
        <v>2</v>
      </c>
      <c r="D806">
        <v>42.9</v>
      </c>
      <c r="E806">
        <v>85.8</v>
      </c>
      <c r="F806" s="1">
        <v>45692</v>
      </c>
      <c r="G806" s="1">
        <v>45694</v>
      </c>
      <c r="H806" t="s">
        <v>12</v>
      </c>
      <c r="I806" t="s">
        <v>3</v>
      </c>
      <c r="J806">
        <v>5</v>
      </c>
      <c r="K806" t="s">
        <v>4</v>
      </c>
      <c r="L806" t="s">
        <v>47</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5">
      <c r="A807" t="s">
        <v>885</v>
      </c>
      <c r="B807" t="s">
        <v>27</v>
      </c>
      <c r="C807">
        <v>7</v>
      </c>
      <c r="D807">
        <v>55.6</v>
      </c>
      <c r="E807">
        <v>389.2</v>
      </c>
      <c r="F807" s="1">
        <v>45692</v>
      </c>
      <c r="G807" s="1">
        <v>45694</v>
      </c>
      <c r="H807" t="s">
        <v>12</v>
      </c>
      <c r="I807" t="s">
        <v>25</v>
      </c>
      <c r="J807">
        <v>3</v>
      </c>
      <c r="K807" t="s">
        <v>4</v>
      </c>
      <c r="L807" t="s">
        <v>47</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5">
      <c r="A808" t="s">
        <v>886</v>
      </c>
      <c r="B808" t="s">
        <v>29</v>
      </c>
      <c r="C808">
        <v>4</v>
      </c>
      <c r="D808">
        <v>19.2</v>
      </c>
      <c r="E808">
        <v>76.8</v>
      </c>
      <c r="F808" s="1">
        <v>45692</v>
      </c>
      <c r="G808" s="1">
        <v>45697</v>
      </c>
      <c r="H808" t="s">
        <v>12</v>
      </c>
      <c r="I808" t="s">
        <v>3</v>
      </c>
      <c r="J808">
        <v>4</v>
      </c>
      <c r="K808" t="s">
        <v>4</v>
      </c>
      <c r="L808" t="s">
        <v>414</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5">
      <c r="A809" t="s">
        <v>887</v>
      </c>
      <c r="B809" t="s">
        <v>22</v>
      </c>
      <c r="C809">
        <v>2</v>
      </c>
      <c r="D809">
        <v>28.8</v>
      </c>
      <c r="E809">
        <v>57.6</v>
      </c>
      <c r="F809" s="1">
        <v>45692</v>
      </c>
      <c r="G809" s="1">
        <v>45694</v>
      </c>
      <c r="H809" t="s">
        <v>8</v>
      </c>
      <c r="I809" t="s">
        <v>20</v>
      </c>
      <c r="J809">
        <v>4</v>
      </c>
      <c r="K809" t="s">
        <v>4</v>
      </c>
      <c r="L809" t="s">
        <v>93</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5">
      <c r="A810" t="s">
        <v>888</v>
      </c>
      <c r="B810" t="s">
        <v>17</v>
      </c>
      <c r="C810">
        <v>1</v>
      </c>
      <c r="D810">
        <v>29.7</v>
      </c>
      <c r="E810">
        <v>29.7</v>
      </c>
      <c r="F810" s="1">
        <v>45692</v>
      </c>
      <c r="G810" s="1">
        <v>45694</v>
      </c>
      <c r="H810" t="s">
        <v>12</v>
      </c>
      <c r="I810" t="s">
        <v>25</v>
      </c>
      <c r="J810">
        <v>2</v>
      </c>
      <c r="K810" t="s">
        <v>4</v>
      </c>
      <c r="L810" t="s">
        <v>98</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5">
      <c r="A811" t="s">
        <v>889</v>
      </c>
      <c r="B811" t="s">
        <v>24</v>
      </c>
      <c r="C811">
        <v>6</v>
      </c>
      <c r="D811">
        <v>63.3</v>
      </c>
      <c r="E811">
        <v>379.79999999999995</v>
      </c>
      <c r="F811" s="1">
        <v>45692</v>
      </c>
      <c r="G811" s="1">
        <v>45693</v>
      </c>
      <c r="H811" t="s">
        <v>2</v>
      </c>
      <c r="I811" t="s">
        <v>3</v>
      </c>
      <c r="J811">
        <v>5</v>
      </c>
      <c r="K811" t="s">
        <v>4</v>
      </c>
      <c r="L811" t="s">
        <v>100</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5">
      <c r="A812" t="s">
        <v>890</v>
      </c>
      <c r="B812" t="s">
        <v>17</v>
      </c>
      <c r="C812">
        <v>1</v>
      </c>
      <c r="D812">
        <v>46</v>
      </c>
      <c r="E812">
        <v>46</v>
      </c>
      <c r="F812" s="1">
        <v>45692</v>
      </c>
      <c r="G812" s="1">
        <v>45693</v>
      </c>
      <c r="H812" t="s">
        <v>12</v>
      </c>
      <c r="I812" t="s">
        <v>3</v>
      </c>
      <c r="J812">
        <v>5</v>
      </c>
      <c r="K812" t="s">
        <v>4</v>
      </c>
      <c r="L812" t="s">
        <v>100</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5">
      <c r="A813" t="s">
        <v>891</v>
      </c>
      <c r="B813" t="s">
        <v>52</v>
      </c>
      <c r="C813">
        <v>3</v>
      </c>
      <c r="D813">
        <v>38</v>
      </c>
      <c r="E813">
        <v>114</v>
      </c>
      <c r="F813" s="1">
        <v>45692</v>
      </c>
      <c r="G813" s="1">
        <v>45694</v>
      </c>
      <c r="H813" t="s">
        <v>12</v>
      </c>
      <c r="I813" t="s">
        <v>20</v>
      </c>
      <c r="J813">
        <v>5</v>
      </c>
      <c r="K813" t="s">
        <v>4</v>
      </c>
      <c r="L813" t="s">
        <v>100</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5">
      <c r="A814" t="s">
        <v>892</v>
      </c>
      <c r="B814" t="s">
        <v>39</v>
      </c>
      <c r="C814">
        <v>13</v>
      </c>
      <c r="D814">
        <v>34.6</v>
      </c>
      <c r="E814">
        <v>449.8</v>
      </c>
      <c r="F814" s="1">
        <v>45692</v>
      </c>
      <c r="G814" s="1">
        <v>45694</v>
      </c>
      <c r="H814" t="s">
        <v>12</v>
      </c>
      <c r="I814" t="s">
        <v>3</v>
      </c>
      <c r="J814">
        <v>3</v>
      </c>
      <c r="K814" t="s">
        <v>4</v>
      </c>
      <c r="L814" t="s">
        <v>100</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5">
      <c r="A815" t="s">
        <v>893</v>
      </c>
      <c r="B815" t="s">
        <v>15</v>
      </c>
      <c r="C815">
        <v>10</v>
      </c>
      <c r="D815">
        <v>79.7</v>
      </c>
      <c r="E815">
        <v>797</v>
      </c>
      <c r="F815" s="1">
        <v>45692</v>
      </c>
      <c r="G815" s="1">
        <v>45693</v>
      </c>
      <c r="H815" t="s">
        <v>12</v>
      </c>
      <c r="I815" t="s">
        <v>55</v>
      </c>
      <c r="J815">
        <v>3</v>
      </c>
      <c r="K815" t="s">
        <v>4</v>
      </c>
      <c r="L815" t="s">
        <v>100</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5">
      <c r="A816" t="s">
        <v>894</v>
      </c>
      <c r="B816" t="s">
        <v>29</v>
      </c>
      <c r="C816">
        <v>8</v>
      </c>
      <c r="D816">
        <v>30.5</v>
      </c>
      <c r="E816">
        <v>244</v>
      </c>
      <c r="F816" s="1">
        <v>45692</v>
      </c>
      <c r="G816" s="1">
        <v>45696</v>
      </c>
      <c r="H816" t="s">
        <v>8</v>
      </c>
      <c r="I816" t="s">
        <v>36</v>
      </c>
      <c r="J816">
        <v>4</v>
      </c>
      <c r="K816" t="s">
        <v>4</v>
      </c>
      <c r="L816" t="s">
        <v>9</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5">
      <c r="A817" t="s">
        <v>895</v>
      </c>
      <c r="B817" t="s">
        <v>1</v>
      </c>
      <c r="C817">
        <v>2</v>
      </c>
      <c r="D817">
        <v>20.8</v>
      </c>
      <c r="E817">
        <v>41.6</v>
      </c>
      <c r="F817" s="1">
        <v>45692</v>
      </c>
      <c r="G817" s="1">
        <v>45693</v>
      </c>
      <c r="H817" t="s">
        <v>12</v>
      </c>
      <c r="I817" t="s">
        <v>3</v>
      </c>
      <c r="J817">
        <v>4</v>
      </c>
      <c r="K817" t="s">
        <v>4</v>
      </c>
      <c r="L817" t="s">
        <v>13</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5">
      <c r="A818" t="s">
        <v>896</v>
      </c>
      <c r="B818" t="s">
        <v>52</v>
      </c>
      <c r="C818">
        <v>7</v>
      </c>
      <c r="D818">
        <v>48.5</v>
      </c>
      <c r="E818">
        <v>339.5</v>
      </c>
      <c r="F818" s="1">
        <v>45692</v>
      </c>
      <c r="G818" s="1">
        <v>45696</v>
      </c>
      <c r="H818" t="s">
        <v>12</v>
      </c>
      <c r="I818" t="s">
        <v>25</v>
      </c>
      <c r="J818">
        <v>5</v>
      </c>
      <c r="K818" t="s">
        <v>4</v>
      </c>
      <c r="L818" t="s">
        <v>13</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5">
      <c r="A819" t="s">
        <v>897</v>
      </c>
      <c r="B819" t="s">
        <v>11</v>
      </c>
      <c r="C819">
        <v>4</v>
      </c>
      <c r="D819">
        <v>61.8</v>
      </c>
      <c r="E819">
        <v>247.2</v>
      </c>
      <c r="F819" s="1">
        <v>45692</v>
      </c>
      <c r="G819" s="1">
        <v>45696</v>
      </c>
      <c r="H819" t="s">
        <v>12</v>
      </c>
      <c r="I819" t="s">
        <v>55</v>
      </c>
      <c r="J819">
        <v>4</v>
      </c>
      <c r="K819" t="s">
        <v>4</v>
      </c>
      <c r="L819" t="s">
        <v>132</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5">
      <c r="A820" t="s">
        <v>898</v>
      </c>
      <c r="B820" t="s">
        <v>39</v>
      </c>
      <c r="C820">
        <v>1</v>
      </c>
      <c r="D820">
        <v>46.1</v>
      </c>
      <c r="E820">
        <v>46.1</v>
      </c>
      <c r="F820" s="1">
        <v>45692</v>
      </c>
      <c r="G820" s="1">
        <v>45693</v>
      </c>
      <c r="H820" t="s">
        <v>74</v>
      </c>
      <c r="I820" t="s">
        <v>25</v>
      </c>
      <c r="J820">
        <v>4</v>
      </c>
      <c r="K820" t="s">
        <v>4</v>
      </c>
      <c r="L820" t="s">
        <v>18</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5">
      <c r="A821" t="s">
        <v>899</v>
      </c>
      <c r="B821" t="s">
        <v>17</v>
      </c>
      <c r="C821">
        <v>6</v>
      </c>
      <c r="D821">
        <v>44</v>
      </c>
      <c r="E821">
        <v>264</v>
      </c>
      <c r="F821" s="1">
        <v>45692</v>
      </c>
      <c r="G821" s="1">
        <v>45693</v>
      </c>
      <c r="H821" t="s">
        <v>12</v>
      </c>
      <c r="I821" t="s">
        <v>3</v>
      </c>
      <c r="J821">
        <v>4</v>
      </c>
      <c r="K821" t="s">
        <v>4</v>
      </c>
      <c r="L821" t="s">
        <v>18</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5">
      <c r="A822" t="s">
        <v>900</v>
      </c>
      <c r="B822" t="s">
        <v>131</v>
      </c>
      <c r="C822">
        <v>2</v>
      </c>
      <c r="D822">
        <v>95.7</v>
      </c>
      <c r="E822">
        <v>191.4</v>
      </c>
      <c r="F822" s="1">
        <v>45692</v>
      </c>
      <c r="G822" s="1">
        <v>45698</v>
      </c>
      <c r="H822" t="s">
        <v>12</v>
      </c>
      <c r="I822" t="s">
        <v>36</v>
      </c>
      <c r="J822">
        <v>5</v>
      </c>
      <c r="K822" t="s">
        <v>4</v>
      </c>
      <c r="L822" t="s">
        <v>18</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5">
      <c r="A823" t="s">
        <v>901</v>
      </c>
      <c r="B823" t="s">
        <v>27</v>
      </c>
      <c r="C823">
        <v>5</v>
      </c>
      <c r="D823">
        <v>46.4</v>
      </c>
      <c r="E823">
        <v>232</v>
      </c>
      <c r="F823" s="1">
        <v>45692</v>
      </c>
      <c r="G823" s="1">
        <v>45695</v>
      </c>
      <c r="H823" t="s">
        <v>12</v>
      </c>
      <c r="I823" t="s">
        <v>3</v>
      </c>
      <c r="J823">
        <v>4</v>
      </c>
      <c r="K823" t="s">
        <v>4</v>
      </c>
      <c r="L823" t="s">
        <v>18</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5">
      <c r="A824" t="s">
        <v>902</v>
      </c>
      <c r="B824" t="s">
        <v>24</v>
      </c>
      <c r="C824">
        <v>2</v>
      </c>
      <c r="D824">
        <v>47.2</v>
      </c>
      <c r="E824">
        <v>94.4</v>
      </c>
      <c r="F824" s="1">
        <v>45692</v>
      </c>
      <c r="G824" s="1">
        <v>45694</v>
      </c>
      <c r="H824" t="s">
        <v>12</v>
      </c>
      <c r="I824" t="s">
        <v>3</v>
      </c>
      <c r="J824">
        <v>5</v>
      </c>
      <c r="K824" t="s">
        <v>4</v>
      </c>
      <c r="L824" t="s">
        <v>18</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5">
      <c r="A825" t="s">
        <v>903</v>
      </c>
      <c r="B825" t="s">
        <v>27</v>
      </c>
      <c r="C825">
        <v>2</v>
      </c>
      <c r="D825">
        <v>58.6</v>
      </c>
      <c r="E825">
        <v>117.2</v>
      </c>
      <c r="F825" s="1">
        <v>45692</v>
      </c>
      <c r="G825" s="1">
        <v>45693</v>
      </c>
      <c r="H825" t="s">
        <v>12</v>
      </c>
      <c r="I825" t="s">
        <v>25</v>
      </c>
      <c r="J825">
        <v>3</v>
      </c>
      <c r="K825" t="s">
        <v>4</v>
      </c>
      <c r="L825" t="s">
        <v>18</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5">
      <c r="A826" t="s">
        <v>904</v>
      </c>
      <c r="B826" t="s">
        <v>17</v>
      </c>
      <c r="C826">
        <v>3</v>
      </c>
      <c r="D826">
        <v>57</v>
      </c>
      <c r="E826">
        <v>171</v>
      </c>
      <c r="F826" s="1">
        <v>45692</v>
      </c>
      <c r="G826" s="1">
        <v>45693</v>
      </c>
      <c r="H826" t="s">
        <v>8</v>
      </c>
      <c r="I826" t="s">
        <v>3</v>
      </c>
      <c r="J826">
        <v>5</v>
      </c>
      <c r="K826" t="s">
        <v>4</v>
      </c>
      <c r="L826" t="s">
        <v>18</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5">
      <c r="A827" t="s">
        <v>905</v>
      </c>
      <c r="B827" t="s">
        <v>29</v>
      </c>
      <c r="C827">
        <v>4</v>
      </c>
      <c r="D827">
        <v>28.9</v>
      </c>
      <c r="E827">
        <v>115.6</v>
      </c>
      <c r="F827" s="1">
        <v>45692</v>
      </c>
      <c r="G827" s="1">
        <v>45696</v>
      </c>
      <c r="H827" t="s">
        <v>8</v>
      </c>
      <c r="I827" t="s">
        <v>25</v>
      </c>
      <c r="J827">
        <v>4</v>
      </c>
      <c r="K827" t="s">
        <v>4</v>
      </c>
      <c r="L827" t="s">
        <v>18</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5">
      <c r="A828" t="s">
        <v>906</v>
      </c>
      <c r="B828" t="s">
        <v>54</v>
      </c>
      <c r="C828">
        <v>5</v>
      </c>
      <c r="D828">
        <v>60.7</v>
      </c>
      <c r="E828">
        <v>303.5</v>
      </c>
      <c r="F828" s="1">
        <v>45692</v>
      </c>
      <c r="G828" s="1">
        <v>45696</v>
      </c>
      <c r="H828" t="s">
        <v>2</v>
      </c>
      <c r="I828" t="s">
        <v>20</v>
      </c>
      <c r="J828">
        <v>3</v>
      </c>
      <c r="K828" t="s">
        <v>4</v>
      </c>
      <c r="L828" t="s">
        <v>18</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5">
      <c r="A829" t="s">
        <v>907</v>
      </c>
      <c r="B829" t="s">
        <v>24</v>
      </c>
      <c r="C829">
        <v>5</v>
      </c>
      <c r="D829">
        <v>60.8</v>
      </c>
      <c r="E829">
        <v>304</v>
      </c>
      <c r="F829" s="1">
        <v>45692</v>
      </c>
      <c r="G829" s="1">
        <v>45696</v>
      </c>
      <c r="H829" t="s">
        <v>8</v>
      </c>
      <c r="I829" t="s">
        <v>3</v>
      </c>
      <c r="J829">
        <v>3</v>
      </c>
      <c r="K829" t="s">
        <v>4</v>
      </c>
      <c r="L829" t="s">
        <v>18</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5">
      <c r="A830" t="s">
        <v>908</v>
      </c>
      <c r="B830" t="s">
        <v>24</v>
      </c>
      <c r="C830">
        <v>5</v>
      </c>
      <c r="D830">
        <v>64.599999999999994</v>
      </c>
      <c r="E830">
        <v>323</v>
      </c>
      <c r="F830" s="1">
        <v>45692</v>
      </c>
      <c r="G830" s="1">
        <v>45693</v>
      </c>
      <c r="H830" t="s">
        <v>12</v>
      </c>
      <c r="I830" t="s">
        <v>36</v>
      </c>
      <c r="J830">
        <v>4</v>
      </c>
      <c r="K830" t="s">
        <v>4</v>
      </c>
      <c r="L830" t="s">
        <v>18</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5">
      <c r="A831" t="s">
        <v>909</v>
      </c>
      <c r="B831" t="s">
        <v>29</v>
      </c>
      <c r="C831">
        <v>1</v>
      </c>
      <c r="D831">
        <v>21.9</v>
      </c>
      <c r="E831">
        <v>21.9</v>
      </c>
      <c r="F831" s="1">
        <v>45692</v>
      </c>
      <c r="G831" s="1">
        <v>45695</v>
      </c>
      <c r="H831" t="s">
        <v>8</v>
      </c>
      <c r="I831" t="s">
        <v>20</v>
      </c>
      <c r="J831">
        <v>5</v>
      </c>
      <c r="K831" t="s">
        <v>4</v>
      </c>
      <c r="L831" t="s">
        <v>34</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5">
      <c r="A832" t="s">
        <v>910</v>
      </c>
      <c r="B832" t="s">
        <v>17</v>
      </c>
      <c r="C832">
        <v>12</v>
      </c>
      <c r="D832">
        <v>33.4</v>
      </c>
      <c r="E832">
        <v>400.79999999999995</v>
      </c>
      <c r="F832" s="1">
        <v>45692</v>
      </c>
      <c r="G832" s="1">
        <v>45694</v>
      </c>
      <c r="H832" t="s">
        <v>12</v>
      </c>
      <c r="I832" t="s">
        <v>3</v>
      </c>
      <c r="J832">
        <v>4</v>
      </c>
      <c r="K832" t="s">
        <v>4</v>
      </c>
      <c r="L832" t="s">
        <v>143</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5">
      <c r="A833" t="s">
        <v>911</v>
      </c>
      <c r="B833" t="s">
        <v>11</v>
      </c>
      <c r="C833">
        <v>1</v>
      </c>
      <c r="D833">
        <v>51.7</v>
      </c>
      <c r="E833">
        <v>51.7</v>
      </c>
      <c r="F833" s="1">
        <v>45692</v>
      </c>
      <c r="G833" s="1">
        <v>45693</v>
      </c>
      <c r="H833" t="s">
        <v>2</v>
      </c>
      <c r="I833" t="s">
        <v>3</v>
      </c>
      <c r="J833">
        <v>4</v>
      </c>
      <c r="K833" t="s">
        <v>4</v>
      </c>
      <c r="L833" t="s">
        <v>40</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5">
      <c r="A834" t="s">
        <v>912</v>
      </c>
      <c r="B834" t="s">
        <v>7</v>
      </c>
      <c r="C834">
        <v>4</v>
      </c>
      <c r="D834">
        <v>84.9</v>
      </c>
      <c r="E834">
        <v>339.6</v>
      </c>
      <c r="F834" s="1">
        <v>45692</v>
      </c>
      <c r="G834" s="1">
        <v>45693</v>
      </c>
      <c r="H834" t="s">
        <v>12</v>
      </c>
      <c r="I834" t="s">
        <v>20</v>
      </c>
      <c r="J834">
        <v>3</v>
      </c>
      <c r="K834" t="s">
        <v>4</v>
      </c>
      <c r="L834" t="s">
        <v>40</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5">
      <c r="A835" t="s">
        <v>913</v>
      </c>
      <c r="B835" t="s">
        <v>7</v>
      </c>
      <c r="C835">
        <v>11</v>
      </c>
      <c r="D835">
        <v>62.3</v>
      </c>
      <c r="E835">
        <v>685.3</v>
      </c>
      <c r="F835" s="1">
        <v>45692</v>
      </c>
      <c r="G835" s="1">
        <v>45693</v>
      </c>
      <c r="H835" t="s">
        <v>12</v>
      </c>
      <c r="I835" t="s">
        <v>25</v>
      </c>
      <c r="J835">
        <v>5</v>
      </c>
      <c r="K835" t="s">
        <v>4</v>
      </c>
      <c r="L835" t="s">
        <v>44</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5">
      <c r="A836" t="s">
        <v>914</v>
      </c>
      <c r="B836" t="s">
        <v>17</v>
      </c>
      <c r="C836">
        <v>1</v>
      </c>
      <c r="D836">
        <v>50.7</v>
      </c>
      <c r="E836">
        <v>50.7</v>
      </c>
      <c r="F836" s="1">
        <v>45692</v>
      </c>
      <c r="G836" s="1">
        <v>45694</v>
      </c>
      <c r="H836" t="s">
        <v>8</v>
      </c>
      <c r="I836" t="s">
        <v>25</v>
      </c>
      <c r="J836">
        <v>5</v>
      </c>
      <c r="K836" t="s">
        <v>4</v>
      </c>
      <c r="L836" t="s">
        <v>47</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5">
      <c r="A837" t="s">
        <v>915</v>
      </c>
      <c r="B837" t="s">
        <v>131</v>
      </c>
      <c r="C837">
        <v>1</v>
      </c>
      <c r="D837">
        <v>39.5</v>
      </c>
      <c r="E837">
        <v>39.5</v>
      </c>
      <c r="F837" s="1">
        <v>45692</v>
      </c>
      <c r="G837" s="1">
        <v>45693</v>
      </c>
      <c r="H837" t="s">
        <v>8</v>
      </c>
      <c r="I837" t="s">
        <v>55</v>
      </c>
      <c r="J837">
        <v>3</v>
      </c>
      <c r="K837" t="s">
        <v>4</v>
      </c>
      <c r="L837" t="s">
        <v>47</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5">
      <c r="A838" t="s">
        <v>916</v>
      </c>
      <c r="B838" t="s">
        <v>54</v>
      </c>
      <c r="C838">
        <v>3</v>
      </c>
      <c r="D838">
        <v>30.9</v>
      </c>
      <c r="E838">
        <v>92.699999999999989</v>
      </c>
      <c r="F838" s="1">
        <v>45692</v>
      </c>
      <c r="G838" s="1">
        <v>45693</v>
      </c>
      <c r="H838" t="s">
        <v>2</v>
      </c>
      <c r="I838" t="s">
        <v>55</v>
      </c>
      <c r="J838">
        <v>5</v>
      </c>
      <c r="K838" t="s">
        <v>4</v>
      </c>
      <c r="L838" t="s">
        <v>47</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5">
      <c r="A839" t="s">
        <v>917</v>
      </c>
      <c r="B839" t="s">
        <v>7</v>
      </c>
      <c r="C839">
        <v>7</v>
      </c>
      <c r="D839">
        <v>36.4</v>
      </c>
      <c r="E839">
        <v>254.79999999999998</v>
      </c>
      <c r="F839" s="1">
        <v>45692</v>
      </c>
      <c r="G839" s="1">
        <v>45695</v>
      </c>
      <c r="H839" t="s">
        <v>12</v>
      </c>
      <c r="I839" t="s">
        <v>3</v>
      </c>
      <c r="J839">
        <v>5</v>
      </c>
      <c r="K839" t="s">
        <v>4</v>
      </c>
      <c r="L839" t="s">
        <v>47</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5">
      <c r="A840" t="s">
        <v>918</v>
      </c>
      <c r="B840" t="s">
        <v>24</v>
      </c>
      <c r="C840">
        <v>8</v>
      </c>
      <c r="D840">
        <v>105.6</v>
      </c>
      <c r="E840">
        <v>844.8</v>
      </c>
      <c r="F840" s="1">
        <v>45692</v>
      </c>
      <c r="G840" s="1">
        <v>45702</v>
      </c>
      <c r="H840" t="s">
        <v>12</v>
      </c>
      <c r="I840" t="s">
        <v>3</v>
      </c>
      <c r="J840">
        <v>4</v>
      </c>
      <c r="K840" t="s">
        <v>4</v>
      </c>
      <c r="L840" t="s">
        <v>47</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5">
      <c r="A841" t="s">
        <v>919</v>
      </c>
      <c r="B841" t="s">
        <v>29</v>
      </c>
      <c r="C841">
        <v>2</v>
      </c>
      <c r="D841">
        <v>22.1</v>
      </c>
      <c r="E841">
        <v>44.2</v>
      </c>
      <c r="F841" s="1">
        <v>45692</v>
      </c>
      <c r="G841" s="1">
        <v>45693</v>
      </c>
      <c r="H841" t="s">
        <v>12</v>
      </c>
      <c r="I841" t="s">
        <v>3</v>
      </c>
      <c r="J841">
        <v>5</v>
      </c>
      <c r="K841" t="s">
        <v>4</v>
      </c>
      <c r="L841" t="s">
        <v>88</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5">
      <c r="A842" t="s">
        <v>920</v>
      </c>
      <c r="B842" t="s">
        <v>1</v>
      </c>
      <c r="C842">
        <v>3</v>
      </c>
      <c r="D842">
        <v>22.6</v>
      </c>
      <c r="E842">
        <v>67.800000000000011</v>
      </c>
      <c r="F842" s="1">
        <v>45692</v>
      </c>
      <c r="G842" s="1">
        <v>45693</v>
      </c>
      <c r="H842" t="s">
        <v>12</v>
      </c>
      <c r="I842" t="s">
        <v>25</v>
      </c>
      <c r="J842">
        <v>4</v>
      </c>
      <c r="K842" t="s">
        <v>4</v>
      </c>
      <c r="L842" t="s">
        <v>88</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5">
      <c r="A843" t="s">
        <v>921</v>
      </c>
      <c r="B843" t="s">
        <v>39</v>
      </c>
      <c r="C843">
        <v>6</v>
      </c>
      <c r="D843">
        <v>26.3</v>
      </c>
      <c r="E843">
        <v>157.80000000000001</v>
      </c>
      <c r="F843" s="1">
        <v>45692</v>
      </c>
      <c r="G843" s="1">
        <v>45692</v>
      </c>
      <c r="H843" t="s">
        <v>12</v>
      </c>
      <c r="I843" t="s">
        <v>25</v>
      </c>
      <c r="J843">
        <v>4</v>
      </c>
      <c r="K843" t="s">
        <v>4</v>
      </c>
      <c r="L843" t="s">
        <v>57</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5">
      <c r="A844" t="s">
        <v>922</v>
      </c>
      <c r="B844" t="s">
        <v>7</v>
      </c>
      <c r="C844">
        <v>4</v>
      </c>
      <c r="D844">
        <v>37.799999999999997</v>
      </c>
      <c r="E844">
        <v>151.19999999999999</v>
      </c>
      <c r="F844" s="1">
        <v>45692</v>
      </c>
      <c r="G844" s="1">
        <v>45693</v>
      </c>
      <c r="H844" t="s">
        <v>12</v>
      </c>
      <c r="I844" t="s">
        <v>3</v>
      </c>
      <c r="J844">
        <v>5</v>
      </c>
      <c r="K844" t="s">
        <v>4</v>
      </c>
      <c r="L844" t="s">
        <v>62</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5">
      <c r="A845" t="s">
        <v>923</v>
      </c>
      <c r="B845" t="s">
        <v>24</v>
      </c>
      <c r="C845">
        <v>17</v>
      </c>
      <c r="D845">
        <v>96</v>
      </c>
      <c r="E845">
        <v>1632</v>
      </c>
      <c r="F845" s="1">
        <v>45692</v>
      </c>
      <c r="G845" s="1">
        <v>45695</v>
      </c>
      <c r="H845" t="s">
        <v>12</v>
      </c>
      <c r="I845" t="s">
        <v>55</v>
      </c>
      <c r="J845">
        <v>3</v>
      </c>
      <c r="K845" t="s">
        <v>4</v>
      </c>
      <c r="L845" t="s">
        <v>93</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5">
      <c r="A846" t="s">
        <v>924</v>
      </c>
      <c r="B846" t="s">
        <v>7</v>
      </c>
      <c r="C846">
        <v>1</v>
      </c>
      <c r="D846">
        <v>83.6</v>
      </c>
      <c r="E846">
        <v>83.6</v>
      </c>
      <c r="F846" s="1">
        <v>45692</v>
      </c>
      <c r="G846" s="1">
        <v>45695</v>
      </c>
      <c r="H846" t="s">
        <v>12</v>
      </c>
      <c r="I846" t="s">
        <v>25</v>
      </c>
      <c r="J846">
        <v>3</v>
      </c>
      <c r="K846" t="s">
        <v>4</v>
      </c>
      <c r="L846" t="s">
        <v>95</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5">
      <c r="A847" t="s">
        <v>925</v>
      </c>
      <c r="B847" t="s">
        <v>11</v>
      </c>
      <c r="C847">
        <v>6</v>
      </c>
      <c r="D847">
        <v>72.599999999999994</v>
      </c>
      <c r="E847">
        <v>435.59999999999997</v>
      </c>
      <c r="F847" s="1">
        <v>45692</v>
      </c>
      <c r="G847" s="1">
        <v>45693</v>
      </c>
      <c r="H847" t="s">
        <v>12</v>
      </c>
      <c r="I847" t="s">
        <v>3</v>
      </c>
      <c r="J847">
        <v>4</v>
      </c>
      <c r="K847" t="s">
        <v>4</v>
      </c>
      <c r="L847" t="s">
        <v>100</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5">
      <c r="A848" t="s">
        <v>926</v>
      </c>
      <c r="B848" t="s">
        <v>22</v>
      </c>
      <c r="C848">
        <v>20</v>
      </c>
      <c r="D848">
        <v>69.099999999999994</v>
      </c>
      <c r="E848">
        <v>1382</v>
      </c>
      <c r="F848" s="1">
        <v>45693</v>
      </c>
      <c r="G848" s="1">
        <v>45699</v>
      </c>
      <c r="H848" t="s">
        <v>8</v>
      </c>
      <c r="I848" t="s">
        <v>3</v>
      </c>
      <c r="J848">
        <v>5</v>
      </c>
      <c r="K848" t="s">
        <v>4</v>
      </c>
      <c r="L848" t="s">
        <v>100</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5">
      <c r="A849" t="s">
        <v>927</v>
      </c>
      <c r="B849" t="s">
        <v>17</v>
      </c>
      <c r="C849">
        <v>2</v>
      </c>
      <c r="D849">
        <v>22.6</v>
      </c>
      <c r="E849">
        <v>45.2</v>
      </c>
      <c r="F849" s="1">
        <v>45693</v>
      </c>
      <c r="G849" s="1">
        <v>45695</v>
      </c>
      <c r="H849" t="s">
        <v>12</v>
      </c>
      <c r="I849" t="s">
        <v>20</v>
      </c>
      <c r="J849">
        <v>5</v>
      </c>
      <c r="K849" t="s">
        <v>4</v>
      </c>
      <c r="L849" t="s">
        <v>100</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5">
      <c r="A850" t="s">
        <v>928</v>
      </c>
      <c r="B850" t="s">
        <v>24</v>
      </c>
      <c r="C850">
        <v>2</v>
      </c>
      <c r="D850">
        <v>45.3</v>
      </c>
      <c r="E850">
        <v>90.6</v>
      </c>
      <c r="F850" s="1">
        <v>45693</v>
      </c>
      <c r="G850" s="1">
        <v>45697</v>
      </c>
      <c r="H850" t="s">
        <v>8</v>
      </c>
      <c r="I850" t="s">
        <v>55</v>
      </c>
      <c r="J850">
        <v>5</v>
      </c>
      <c r="K850" t="s">
        <v>4</v>
      </c>
      <c r="L850" t="s">
        <v>100</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5">
      <c r="A851" t="s">
        <v>929</v>
      </c>
      <c r="B851" t="s">
        <v>11</v>
      </c>
      <c r="C851">
        <v>2</v>
      </c>
      <c r="D851">
        <v>115.1</v>
      </c>
      <c r="E851">
        <v>230.2</v>
      </c>
      <c r="F851" s="1">
        <v>45693</v>
      </c>
      <c r="G851" s="1">
        <v>45694</v>
      </c>
      <c r="H851" t="s">
        <v>12</v>
      </c>
      <c r="I851" t="s">
        <v>20</v>
      </c>
      <c r="J851">
        <v>4</v>
      </c>
      <c r="K851" t="s">
        <v>4</v>
      </c>
      <c r="L851" t="s">
        <v>9</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5">
      <c r="A852" t="s">
        <v>930</v>
      </c>
      <c r="B852" t="s">
        <v>131</v>
      </c>
      <c r="C852">
        <v>4</v>
      </c>
      <c r="D852">
        <v>79</v>
      </c>
      <c r="E852">
        <v>316</v>
      </c>
      <c r="F852" s="1">
        <v>45693</v>
      </c>
      <c r="G852" s="1">
        <v>45695</v>
      </c>
      <c r="H852" t="s">
        <v>8</v>
      </c>
      <c r="I852" t="s">
        <v>25</v>
      </c>
      <c r="J852">
        <v>2</v>
      </c>
      <c r="K852" t="s">
        <v>4</v>
      </c>
      <c r="L852" t="s">
        <v>9</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5">
      <c r="A853" t="s">
        <v>931</v>
      </c>
      <c r="B853" t="s">
        <v>24</v>
      </c>
      <c r="C853">
        <v>5</v>
      </c>
      <c r="D853">
        <v>52.8</v>
      </c>
      <c r="E853">
        <v>264</v>
      </c>
      <c r="F853" s="1">
        <v>45693</v>
      </c>
      <c r="G853" s="1">
        <v>45694</v>
      </c>
      <c r="H853" t="s">
        <v>12</v>
      </c>
      <c r="I853" t="s">
        <v>3</v>
      </c>
      <c r="J853">
        <v>4</v>
      </c>
      <c r="K853" t="s">
        <v>4</v>
      </c>
      <c r="L853" t="s">
        <v>422</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5">
      <c r="A854" t="s">
        <v>932</v>
      </c>
      <c r="B854" t="s">
        <v>29</v>
      </c>
      <c r="C854">
        <v>2</v>
      </c>
      <c r="D854">
        <v>34.1</v>
      </c>
      <c r="E854">
        <v>68.2</v>
      </c>
      <c r="F854" s="1">
        <v>45693</v>
      </c>
      <c r="G854" s="1">
        <v>45694</v>
      </c>
      <c r="H854" t="s">
        <v>8</v>
      </c>
      <c r="I854" t="s">
        <v>36</v>
      </c>
      <c r="J854">
        <v>5</v>
      </c>
      <c r="K854" t="s">
        <v>4</v>
      </c>
      <c r="L854" t="s">
        <v>572</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5">
      <c r="A855" t="s">
        <v>933</v>
      </c>
      <c r="B855" t="s">
        <v>24</v>
      </c>
      <c r="C855">
        <v>5</v>
      </c>
      <c r="D855">
        <v>107.9</v>
      </c>
      <c r="E855">
        <v>539.5</v>
      </c>
      <c r="F855" s="1">
        <v>45693</v>
      </c>
      <c r="G855" s="1">
        <v>45693</v>
      </c>
      <c r="H855" t="s">
        <v>12</v>
      </c>
      <c r="I855" t="s">
        <v>3</v>
      </c>
      <c r="J855">
        <v>5</v>
      </c>
      <c r="K855" t="s">
        <v>4</v>
      </c>
      <c r="L855" t="s">
        <v>934</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5">
      <c r="A856" t="s">
        <v>935</v>
      </c>
      <c r="B856" t="s">
        <v>29</v>
      </c>
      <c r="C856">
        <v>13</v>
      </c>
      <c r="D856">
        <v>48.5</v>
      </c>
      <c r="E856">
        <v>630.5</v>
      </c>
      <c r="F856" s="1">
        <v>45693</v>
      </c>
      <c r="G856" s="1">
        <v>45693</v>
      </c>
      <c r="H856" t="s">
        <v>8</v>
      </c>
      <c r="I856" t="s">
        <v>25</v>
      </c>
      <c r="J856">
        <v>5</v>
      </c>
      <c r="K856" t="s">
        <v>4</v>
      </c>
      <c r="L856" t="s">
        <v>18</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5">
      <c r="A857" t="s">
        <v>936</v>
      </c>
      <c r="B857" t="s">
        <v>22</v>
      </c>
      <c r="C857">
        <v>3</v>
      </c>
      <c r="D857">
        <v>34.700000000000003</v>
      </c>
      <c r="E857">
        <v>104.10000000000001</v>
      </c>
      <c r="F857" s="1">
        <v>45693</v>
      </c>
      <c r="G857" s="1">
        <v>45694</v>
      </c>
      <c r="H857" t="s">
        <v>2</v>
      </c>
      <c r="I857" t="s">
        <v>55</v>
      </c>
      <c r="J857">
        <v>3</v>
      </c>
      <c r="K857" t="s">
        <v>4</v>
      </c>
      <c r="L857" t="s">
        <v>18</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5">
      <c r="A858" t="s">
        <v>937</v>
      </c>
      <c r="B858" t="s">
        <v>29</v>
      </c>
      <c r="C858">
        <v>1</v>
      </c>
      <c r="D858">
        <v>16.8</v>
      </c>
      <c r="E858">
        <v>16.8</v>
      </c>
      <c r="F858" s="1">
        <v>45693</v>
      </c>
      <c r="G858" s="1">
        <v>45695</v>
      </c>
      <c r="H858" t="s">
        <v>12</v>
      </c>
      <c r="I858" t="s">
        <v>36</v>
      </c>
      <c r="J858">
        <v>4</v>
      </c>
      <c r="K858" t="s">
        <v>4</v>
      </c>
      <c r="L858" t="s">
        <v>18</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5">
      <c r="A859" t="s">
        <v>938</v>
      </c>
      <c r="B859" t="s">
        <v>29</v>
      </c>
      <c r="C859">
        <v>6</v>
      </c>
      <c r="D859">
        <v>18.3</v>
      </c>
      <c r="E859">
        <v>109.80000000000001</v>
      </c>
      <c r="F859" s="1">
        <v>45693</v>
      </c>
      <c r="G859" s="1">
        <v>45696</v>
      </c>
      <c r="H859" t="s">
        <v>12</v>
      </c>
      <c r="I859" t="s">
        <v>3</v>
      </c>
      <c r="J859">
        <v>4</v>
      </c>
      <c r="K859" t="s">
        <v>4</v>
      </c>
      <c r="L859" t="s">
        <v>18</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5">
      <c r="A860" t="s">
        <v>939</v>
      </c>
      <c r="B860" t="s">
        <v>131</v>
      </c>
      <c r="C860">
        <v>3</v>
      </c>
      <c r="D860">
        <v>55.9</v>
      </c>
      <c r="E860">
        <v>167.7</v>
      </c>
      <c r="F860" s="1">
        <v>45693</v>
      </c>
      <c r="G860" s="1">
        <v>45699</v>
      </c>
      <c r="H860" t="s">
        <v>8</v>
      </c>
      <c r="I860" t="s">
        <v>36</v>
      </c>
      <c r="J860">
        <v>3</v>
      </c>
      <c r="K860" t="s">
        <v>4</v>
      </c>
      <c r="L860" t="s">
        <v>18</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5">
      <c r="A861" t="s">
        <v>940</v>
      </c>
      <c r="B861" t="s">
        <v>29</v>
      </c>
      <c r="C861">
        <v>3</v>
      </c>
      <c r="D861">
        <v>39.200000000000003</v>
      </c>
      <c r="E861">
        <v>117.60000000000001</v>
      </c>
      <c r="F861" s="1">
        <v>45693</v>
      </c>
      <c r="G861" s="1">
        <v>45695</v>
      </c>
      <c r="H861" t="s">
        <v>12</v>
      </c>
      <c r="I861" t="s">
        <v>3</v>
      </c>
      <c r="J861">
        <v>3</v>
      </c>
      <c r="K861" t="s">
        <v>4</v>
      </c>
      <c r="L861" t="s">
        <v>18</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5">
      <c r="A862" t="s">
        <v>941</v>
      </c>
      <c r="B862" t="s">
        <v>108</v>
      </c>
      <c r="C862">
        <v>4</v>
      </c>
      <c r="D862">
        <v>66.5</v>
      </c>
      <c r="E862">
        <v>266</v>
      </c>
      <c r="F862" s="1">
        <v>45693</v>
      </c>
      <c r="G862" s="1">
        <v>45695</v>
      </c>
      <c r="H862" t="s">
        <v>2</v>
      </c>
      <c r="I862" t="s">
        <v>36</v>
      </c>
      <c r="J862">
        <v>3</v>
      </c>
      <c r="K862" t="s">
        <v>4</v>
      </c>
      <c r="L862" t="s">
        <v>18</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5">
      <c r="A863" t="s">
        <v>942</v>
      </c>
      <c r="B863" t="s">
        <v>24</v>
      </c>
      <c r="C863">
        <v>6</v>
      </c>
      <c r="D863">
        <v>52.1</v>
      </c>
      <c r="E863">
        <v>312.60000000000002</v>
      </c>
      <c r="F863" s="1">
        <v>45693</v>
      </c>
      <c r="G863" s="1">
        <v>45695</v>
      </c>
      <c r="H863" t="s">
        <v>8</v>
      </c>
      <c r="I863" t="s">
        <v>20</v>
      </c>
      <c r="J863">
        <v>3</v>
      </c>
      <c r="K863" t="s">
        <v>4</v>
      </c>
      <c r="L863" t="s">
        <v>83</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5">
      <c r="A864" t="s">
        <v>943</v>
      </c>
      <c r="B864" t="s">
        <v>29</v>
      </c>
      <c r="C864">
        <v>2</v>
      </c>
      <c r="D864">
        <v>19</v>
      </c>
      <c r="E864">
        <v>38</v>
      </c>
      <c r="F864" s="1">
        <v>45693</v>
      </c>
      <c r="G864" s="1">
        <v>45694</v>
      </c>
      <c r="H864" t="s">
        <v>8</v>
      </c>
      <c r="I864" t="s">
        <v>55</v>
      </c>
      <c r="J864">
        <v>5</v>
      </c>
      <c r="K864" t="s">
        <v>4</v>
      </c>
      <c r="L864" t="s">
        <v>40</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5">
      <c r="A865" t="s">
        <v>944</v>
      </c>
      <c r="B865" t="s">
        <v>27</v>
      </c>
      <c r="C865">
        <v>3</v>
      </c>
      <c r="D865">
        <v>84.8</v>
      </c>
      <c r="E865">
        <v>254.39999999999998</v>
      </c>
      <c r="F865" s="1">
        <v>45693</v>
      </c>
      <c r="G865" s="1">
        <v>45695</v>
      </c>
      <c r="H865" t="s">
        <v>12</v>
      </c>
      <c r="I865" t="s">
        <v>25</v>
      </c>
      <c r="J865">
        <v>4</v>
      </c>
      <c r="K865" t="s">
        <v>4</v>
      </c>
      <c r="L865" t="s">
        <v>47</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5">
      <c r="A866" t="s">
        <v>945</v>
      </c>
      <c r="B866" t="s">
        <v>11</v>
      </c>
      <c r="C866">
        <v>4</v>
      </c>
      <c r="D866">
        <v>63.9</v>
      </c>
      <c r="E866">
        <v>255.6</v>
      </c>
      <c r="F866" s="1">
        <v>45693</v>
      </c>
      <c r="G866" s="1">
        <v>45696</v>
      </c>
      <c r="H866" t="s">
        <v>12</v>
      </c>
      <c r="I866" t="s">
        <v>3</v>
      </c>
      <c r="J866">
        <v>4</v>
      </c>
      <c r="K866" t="s">
        <v>4</v>
      </c>
      <c r="L866" t="s">
        <v>47</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5">
      <c r="A867" t="s">
        <v>946</v>
      </c>
      <c r="B867" t="s">
        <v>11</v>
      </c>
      <c r="C867">
        <v>3</v>
      </c>
      <c r="D867">
        <v>65.5</v>
      </c>
      <c r="E867">
        <v>196.5</v>
      </c>
      <c r="F867" s="1">
        <v>45693</v>
      </c>
      <c r="G867" s="1">
        <v>45693</v>
      </c>
      <c r="H867" t="s">
        <v>12</v>
      </c>
      <c r="I867" t="s">
        <v>20</v>
      </c>
      <c r="J867">
        <v>3</v>
      </c>
      <c r="K867" t="s">
        <v>4</v>
      </c>
      <c r="L867" t="s">
        <v>47</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5">
      <c r="A868" t="s">
        <v>947</v>
      </c>
      <c r="B868" t="s">
        <v>54</v>
      </c>
      <c r="C868">
        <v>2</v>
      </c>
      <c r="D868">
        <v>116.2</v>
      </c>
      <c r="E868">
        <v>232.4</v>
      </c>
      <c r="F868" s="1">
        <v>45693</v>
      </c>
      <c r="G868" s="1">
        <v>45699</v>
      </c>
      <c r="H868" t="s">
        <v>8</v>
      </c>
      <c r="I868" t="s">
        <v>36</v>
      </c>
      <c r="J868">
        <v>4</v>
      </c>
      <c r="K868" t="s">
        <v>4</v>
      </c>
      <c r="L868" t="s">
        <v>88</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5">
      <c r="A869" t="s">
        <v>948</v>
      </c>
      <c r="B869" t="s">
        <v>39</v>
      </c>
      <c r="C869">
        <v>4</v>
      </c>
      <c r="D869">
        <v>22.9</v>
      </c>
      <c r="E869">
        <v>91.6</v>
      </c>
      <c r="F869" s="1">
        <v>45693</v>
      </c>
      <c r="G869" s="1">
        <v>45695</v>
      </c>
      <c r="H869" t="s">
        <v>12</v>
      </c>
      <c r="I869" t="s">
        <v>25</v>
      </c>
      <c r="J869">
        <v>3</v>
      </c>
      <c r="K869" t="s">
        <v>4</v>
      </c>
      <c r="L869" t="s">
        <v>362</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5">
      <c r="A870" t="s">
        <v>949</v>
      </c>
      <c r="B870" t="s">
        <v>39</v>
      </c>
      <c r="C870">
        <v>3</v>
      </c>
      <c r="D870">
        <v>53.7</v>
      </c>
      <c r="E870">
        <v>161.10000000000002</v>
      </c>
      <c r="F870" s="1">
        <v>45693</v>
      </c>
      <c r="G870" s="1">
        <v>45694</v>
      </c>
      <c r="H870" t="s">
        <v>8</v>
      </c>
      <c r="I870" t="s">
        <v>3</v>
      </c>
      <c r="J870">
        <v>2</v>
      </c>
      <c r="K870" t="s">
        <v>4</v>
      </c>
      <c r="L870" t="s">
        <v>93</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5">
      <c r="A871" t="s">
        <v>950</v>
      </c>
      <c r="B871" t="s">
        <v>24</v>
      </c>
      <c r="C871">
        <v>5</v>
      </c>
      <c r="D871">
        <v>43.2</v>
      </c>
      <c r="E871">
        <v>216</v>
      </c>
      <c r="F871" s="1">
        <v>45693</v>
      </c>
      <c r="G871" s="1">
        <v>45695</v>
      </c>
      <c r="H871" t="s">
        <v>12</v>
      </c>
      <c r="I871" t="s">
        <v>3</v>
      </c>
      <c r="J871">
        <v>4</v>
      </c>
      <c r="K871" t="s">
        <v>4</v>
      </c>
      <c r="L871" t="s">
        <v>95</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5">
      <c r="A872" t="s">
        <v>951</v>
      </c>
      <c r="B872" t="s">
        <v>7</v>
      </c>
      <c r="C872">
        <v>3</v>
      </c>
      <c r="D872">
        <v>84.5</v>
      </c>
      <c r="E872">
        <v>253.5</v>
      </c>
      <c r="F872" s="1">
        <v>45693</v>
      </c>
      <c r="G872" s="1">
        <v>45695</v>
      </c>
      <c r="H872" t="s">
        <v>8</v>
      </c>
      <c r="I872" t="s">
        <v>25</v>
      </c>
      <c r="J872">
        <v>5</v>
      </c>
      <c r="K872" t="s">
        <v>4</v>
      </c>
      <c r="L872" t="s">
        <v>952</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5">
      <c r="A873" t="s">
        <v>953</v>
      </c>
      <c r="B873" t="s">
        <v>15</v>
      </c>
      <c r="C873">
        <v>2</v>
      </c>
      <c r="D873">
        <v>42.2</v>
      </c>
      <c r="E873">
        <v>84.4</v>
      </c>
      <c r="F873" s="1">
        <v>45693</v>
      </c>
      <c r="G873" s="1">
        <v>45694</v>
      </c>
      <c r="H873" t="s">
        <v>12</v>
      </c>
      <c r="I873" t="s">
        <v>20</v>
      </c>
      <c r="J873">
        <v>5</v>
      </c>
      <c r="K873" t="s">
        <v>4</v>
      </c>
      <c r="L873" t="s">
        <v>9</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5">
      <c r="A874" t="s">
        <v>954</v>
      </c>
      <c r="B874" t="s">
        <v>11</v>
      </c>
      <c r="C874">
        <v>6</v>
      </c>
      <c r="D874">
        <v>94.7</v>
      </c>
      <c r="E874">
        <v>568.20000000000005</v>
      </c>
      <c r="F874" s="1">
        <v>45693</v>
      </c>
      <c r="G874" s="1">
        <v>45696</v>
      </c>
      <c r="H874" t="s">
        <v>12</v>
      </c>
      <c r="I874" t="s">
        <v>20</v>
      </c>
      <c r="J874">
        <v>5</v>
      </c>
      <c r="K874" t="s">
        <v>4</v>
      </c>
      <c r="L874" t="s">
        <v>13</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5">
      <c r="A875" t="s">
        <v>955</v>
      </c>
      <c r="B875" t="s">
        <v>29</v>
      </c>
      <c r="C875">
        <v>18</v>
      </c>
      <c r="D875">
        <v>16.7</v>
      </c>
      <c r="E875">
        <v>300.59999999999997</v>
      </c>
      <c r="F875" s="1">
        <v>45693</v>
      </c>
      <c r="G875" s="1">
        <v>45705</v>
      </c>
      <c r="H875" t="s">
        <v>12</v>
      </c>
      <c r="I875" t="s">
        <v>3</v>
      </c>
      <c r="J875">
        <v>5</v>
      </c>
      <c r="K875" t="s">
        <v>4</v>
      </c>
      <c r="L875" t="s">
        <v>13</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5">
      <c r="A876" t="s">
        <v>956</v>
      </c>
      <c r="B876" t="s">
        <v>11</v>
      </c>
      <c r="C876">
        <v>2</v>
      </c>
      <c r="D876">
        <v>83.6</v>
      </c>
      <c r="E876">
        <v>167.2</v>
      </c>
      <c r="F876" s="1">
        <v>45693</v>
      </c>
      <c r="G876" s="1">
        <v>45699</v>
      </c>
      <c r="H876" t="s">
        <v>12</v>
      </c>
      <c r="I876" t="s">
        <v>20</v>
      </c>
      <c r="J876">
        <v>4</v>
      </c>
      <c r="K876" t="s">
        <v>4</v>
      </c>
      <c r="L876" t="s">
        <v>18</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5">
      <c r="A877" t="s">
        <v>957</v>
      </c>
      <c r="B877" t="s">
        <v>27</v>
      </c>
      <c r="C877">
        <v>6</v>
      </c>
      <c r="D877">
        <v>33.6</v>
      </c>
      <c r="E877">
        <v>201.60000000000002</v>
      </c>
      <c r="F877" s="1">
        <v>45694</v>
      </c>
      <c r="G877" s="1">
        <v>45695</v>
      </c>
      <c r="H877" t="s">
        <v>12</v>
      </c>
      <c r="I877" t="s">
        <v>36</v>
      </c>
      <c r="J877">
        <v>4</v>
      </c>
      <c r="K877" t="s">
        <v>4</v>
      </c>
      <c r="L877" t="s">
        <v>18</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5">
      <c r="A878" t="s">
        <v>958</v>
      </c>
      <c r="B878" t="s">
        <v>27</v>
      </c>
      <c r="C878">
        <v>2</v>
      </c>
      <c r="D878">
        <v>64.7</v>
      </c>
      <c r="E878">
        <v>129.4</v>
      </c>
      <c r="F878" s="1">
        <v>45694</v>
      </c>
      <c r="G878" s="1">
        <v>45696</v>
      </c>
      <c r="H878" t="s">
        <v>8</v>
      </c>
      <c r="I878" t="s">
        <v>20</v>
      </c>
      <c r="J878">
        <v>5</v>
      </c>
      <c r="K878" t="s">
        <v>4</v>
      </c>
      <c r="L878" t="s">
        <v>18</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5">
      <c r="A879" t="s">
        <v>959</v>
      </c>
      <c r="B879" t="s">
        <v>1</v>
      </c>
      <c r="C879">
        <v>3</v>
      </c>
      <c r="D879">
        <v>15.7</v>
      </c>
      <c r="E879">
        <v>47.099999999999994</v>
      </c>
      <c r="F879" s="1">
        <v>45694</v>
      </c>
      <c r="G879" s="1">
        <v>45700</v>
      </c>
      <c r="H879" t="s">
        <v>12</v>
      </c>
      <c r="I879" t="s">
        <v>3</v>
      </c>
      <c r="J879">
        <v>4</v>
      </c>
      <c r="K879" t="s">
        <v>4</v>
      </c>
      <c r="L879" t="s">
        <v>18</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5">
      <c r="A880" t="s">
        <v>960</v>
      </c>
      <c r="B880" t="s">
        <v>108</v>
      </c>
      <c r="C880">
        <v>6</v>
      </c>
      <c r="D880">
        <v>49.4</v>
      </c>
      <c r="E880">
        <v>296.39999999999998</v>
      </c>
      <c r="F880" s="1">
        <v>45694</v>
      </c>
      <c r="G880" s="1">
        <v>45694</v>
      </c>
      <c r="H880" t="s">
        <v>8</v>
      </c>
      <c r="I880" t="s">
        <v>20</v>
      </c>
      <c r="J880">
        <v>4</v>
      </c>
      <c r="K880" t="s">
        <v>4</v>
      </c>
      <c r="L880" t="s">
        <v>18</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5">
      <c r="A881" t="s">
        <v>961</v>
      </c>
      <c r="B881" t="s">
        <v>39</v>
      </c>
      <c r="C881">
        <v>6</v>
      </c>
      <c r="D881">
        <v>37</v>
      </c>
      <c r="E881">
        <v>222</v>
      </c>
      <c r="F881" s="1">
        <v>45694</v>
      </c>
      <c r="G881" s="1">
        <v>45697</v>
      </c>
      <c r="H881" t="s">
        <v>12</v>
      </c>
      <c r="I881" t="s">
        <v>20</v>
      </c>
      <c r="J881">
        <v>5</v>
      </c>
      <c r="K881" t="s">
        <v>4</v>
      </c>
      <c r="L881" t="s">
        <v>18</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5">
      <c r="A882" t="s">
        <v>962</v>
      </c>
      <c r="B882" t="s">
        <v>11</v>
      </c>
      <c r="C882">
        <v>2</v>
      </c>
      <c r="D882">
        <v>83.7</v>
      </c>
      <c r="E882">
        <v>167.4</v>
      </c>
      <c r="F882" s="1">
        <v>45694</v>
      </c>
      <c r="G882" s="1">
        <v>45696</v>
      </c>
      <c r="H882" t="s">
        <v>12</v>
      </c>
      <c r="I882" t="s">
        <v>36</v>
      </c>
      <c r="J882">
        <v>5</v>
      </c>
      <c r="K882" t="s">
        <v>4</v>
      </c>
      <c r="L882" t="s">
        <v>18</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5">
      <c r="A883" t="s">
        <v>963</v>
      </c>
      <c r="B883" t="s">
        <v>7</v>
      </c>
      <c r="C883">
        <v>5</v>
      </c>
      <c r="D883">
        <v>35.1</v>
      </c>
      <c r="E883">
        <v>175.5</v>
      </c>
      <c r="F883" s="1">
        <v>45694</v>
      </c>
      <c r="G883" s="1">
        <v>45695</v>
      </c>
      <c r="H883" t="s">
        <v>12</v>
      </c>
      <c r="I883" t="s">
        <v>3</v>
      </c>
      <c r="J883">
        <v>4</v>
      </c>
      <c r="K883" t="s">
        <v>4</v>
      </c>
      <c r="L883" t="s">
        <v>18</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5">
      <c r="A884" t="s">
        <v>964</v>
      </c>
      <c r="B884" t="s">
        <v>113</v>
      </c>
      <c r="C884">
        <v>8</v>
      </c>
      <c r="D884">
        <v>74</v>
      </c>
      <c r="E884">
        <v>592</v>
      </c>
      <c r="F884" s="1">
        <v>45694</v>
      </c>
      <c r="G884" s="1">
        <v>45695</v>
      </c>
      <c r="H884" t="s">
        <v>12</v>
      </c>
      <c r="I884" t="s">
        <v>55</v>
      </c>
      <c r="J884">
        <v>4</v>
      </c>
      <c r="K884" t="s">
        <v>4</v>
      </c>
      <c r="L884" t="s">
        <v>349</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5">
      <c r="A885" t="s">
        <v>965</v>
      </c>
      <c r="B885" t="s">
        <v>24</v>
      </c>
      <c r="C885">
        <v>24</v>
      </c>
      <c r="D885">
        <v>55.5</v>
      </c>
      <c r="E885">
        <v>1332</v>
      </c>
      <c r="F885" s="1">
        <v>45694</v>
      </c>
      <c r="G885" s="1">
        <v>45697</v>
      </c>
      <c r="H885" t="s">
        <v>8</v>
      </c>
      <c r="I885" t="s">
        <v>36</v>
      </c>
      <c r="J885">
        <v>4</v>
      </c>
      <c r="K885" t="s">
        <v>4</v>
      </c>
      <c r="L885" t="s">
        <v>787</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5">
      <c r="A886" t="s">
        <v>966</v>
      </c>
      <c r="B886" t="s">
        <v>52</v>
      </c>
      <c r="C886">
        <v>2</v>
      </c>
      <c r="D886">
        <v>38.9</v>
      </c>
      <c r="E886">
        <v>77.8</v>
      </c>
      <c r="F886" s="1">
        <v>45694</v>
      </c>
      <c r="G886" s="1">
        <v>45696</v>
      </c>
      <c r="H886" t="s">
        <v>12</v>
      </c>
      <c r="I886" t="s">
        <v>20</v>
      </c>
      <c r="J886">
        <v>5</v>
      </c>
      <c r="K886" t="s">
        <v>4</v>
      </c>
      <c r="L886" t="s">
        <v>173</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5">
      <c r="A887" t="s">
        <v>967</v>
      </c>
      <c r="B887" t="s">
        <v>113</v>
      </c>
      <c r="C887">
        <v>2</v>
      </c>
      <c r="D887">
        <v>64.599999999999994</v>
      </c>
      <c r="E887">
        <v>129.19999999999999</v>
      </c>
      <c r="F887" s="1">
        <v>45694</v>
      </c>
      <c r="G887" s="1">
        <v>45701</v>
      </c>
      <c r="H887" t="s">
        <v>8</v>
      </c>
      <c r="I887" t="s">
        <v>25</v>
      </c>
      <c r="J887">
        <v>3</v>
      </c>
      <c r="K887" t="s">
        <v>4</v>
      </c>
      <c r="L887" t="s">
        <v>173</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5">
      <c r="A888" t="s">
        <v>968</v>
      </c>
      <c r="B888" t="s">
        <v>11</v>
      </c>
      <c r="C888">
        <v>3</v>
      </c>
      <c r="D888">
        <v>95.3</v>
      </c>
      <c r="E888">
        <v>285.89999999999998</v>
      </c>
      <c r="F888" s="1">
        <v>45694</v>
      </c>
      <c r="G888" s="1">
        <v>45695</v>
      </c>
      <c r="H888" t="s">
        <v>8</v>
      </c>
      <c r="I888" t="s">
        <v>3</v>
      </c>
      <c r="J888">
        <v>4</v>
      </c>
      <c r="K888" t="s">
        <v>4</v>
      </c>
      <c r="L888" t="s">
        <v>37</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5">
      <c r="A889" t="s">
        <v>969</v>
      </c>
      <c r="B889" t="s">
        <v>61</v>
      </c>
      <c r="C889">
        <v>3</v>
      </c>
      <c r="D889">
        <v>25.8</v>
      </c>
      <c r="E889">
        <v>77.400000000000006</v>
      </c>
      <c r="F889" s="1">
        <v>45694</v>
      </c>
      <c r="G889" s="1">
        <v>45695</v>
      </c>
      <c r="H889" t="s">
        <v>12</v>
      </c>
      <c r="I889" t="s">
        <v>20</v>
      </c>
      <c r="J889">
        <v>3</v>
      </c>
      <c r="K889" t="s">
        <v>4</v>
      </c>
      <c r="L889" t="s">
        <v>40</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5">
      <c r="A890" t="s">
        <v>970</v>
      </c>
      <c r="B890" t="s">
        <v>1</v>
      </c>
      <c r="C890">
        <v>2</v>
      </c>
      <c r="D890">
        <v>11.6</v>
      </c>
      <c r="E890">
        <v>23.2</v>
      </c>
      <c r="F890" s="1">
        <v>45694</v>
      </c>
      <c r="G890" s="1">
        <v>45698</v>
      </c>
      <c r="H890" t="s">
        <v>12</v>
      </c>
      <c r="I890" t="s">
        <v>20</v>
      </c>
      <c r="J890">
        <v>3</v>
      </c>
      <c r="K890" t="s">
        <v>4</v>
      </c>
      <c r="L890" t="s">
        <v>40</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5">
      <c r="A891" t="s">
        <v>971</v>
      </c>
      <c r="B891" t="s">
        <v>27</v>
      </c>
      <c r="C891">
        <v>1</v>
      </c>
      <c r="D891">
        <v>52.3</v>
      </c>
      <c r="E891">
        <v>52.3</v>
      </c>
      <c r="F891" s="1">
        <v>45694</v>
      </c>
      <c r="G891" s="1">
        <v>45695</v>
      </c>
      <c r="H891" t="s">
        <v>12</v>
      </c>
      <c r="I891" t="s">
        <v>20</v>
      </c>
      <c r="J891">
        <v>4</v>
      </c>
      <c r="K891" t="s">
        <v>4</v>
      </c>
      <c r="L891" t="s">
        <v>47</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5">
      <c r="A892" t="s">
        <v>972</v>
      </c>
      <c r="B892" t="s">
        <v>11</v>
      </c>
      <c r="C892">
        <v>10</v>
      </c>
      <c r="D892">
        <v>112.2</v>
      </c>
      <c r="E892">
        <v>1122</v>
      </c>
      <c r="F892" s="1">
        <v>45694</v>
      </c>
      <c r="G892" s="1">
        <v>45695</v>
      </c>
      <c r="H892" t="s">
        <v>12</v>
      </c>
      <c r="I892" t="s">
        <v>20</v>
      </c>
      <c r="J892">
        <v>3</v>
      </c>
      <c r="K892" t="s">
        <v>4</v>
      </c>
      <c r="L892" t="s">
        <v>47</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5">
      <c r="A893" t="s">
        <v>973</v>
      </c>
      <c r="B893" t="s">
        <v>17</v>
      </c>
      <c r="C893">
        <v>5</v>
      </c>
      <c r="D893">
        <v>34.6</v>
      </c>
      <c r="E893">
        <v>173</v>
      </c>
      <c r="F893" s="1">
        <v>45694</v>
      </c>
      <c r="G893" s="1">
        <v>45696</v>
      </c>
      <c r="H893" t="s">
        <v>8</v>
      </c>
      <c r="I893" t="s">
        <v>25</v>
      </c>
      <c r="J893">
        <v>4</v>
      </c>
      <c r="K893" t="s">
        <v>4</v>
      </c>
      <c r="L893" t="s">
        <v>47</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5">
      <c r="A894" t="s">
        <v>974</v>
      </c>
      <c r="B894" t="s">
        <v>66</v>
      </c>
      <c r="C894">
        <v>4</v>
      </c>
      <c r="D894">
        <v>20.100000000000001</v>
      </c>
      <c r="E894">
        <v>80.400000000000006</v>
      </c>
      <c r="F894" s="1">
        <v>45694</v>
      </c>
      <c r="G894" s="1">
        <v>45700</v>
      </c>
      <c r="H894" t="s">
        <v>8</v>
      </c>
      <c r="I894" t="s">
        <v>20</v>
      </c>
      <c r="J894">
        <v>5</v>
      </c>
      <c r="K894" t="s">
        <v>4</v>
      </c>
      <c r="L894" t="s">
        <v>47</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5">
      <c r="A895" t="s">
        <v>975</v>
      </c>
      <c r="B895" t="s">
        <v>11</v>
      </c>
      <c r="C895">
        <v>4</v>
      </c>
      <c r="D895">
        <v>56.4</v>
      </c>
      <c r="E895">
        <v>225.6</v>
      </c>
      <c r="F895" s="1">
        <v>45694</v>
      </c>
      <c r="G895" s="1">
        <v>45696</v>
      </c>
      <c r="H895" t="s">
        <v>12</v>
      </c>
      <c r="I895" t="s">
        <v>25</v>
      </c>
      <c r="J895">
        <v>4</v>
      </c>
      <c r="K895" t="s">
        <v>4</v>
      </c>
      <c r="L895" t="s">
        <v>59</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5">
      <c r="A896" t="s">
        <v>976</v>
      </c>
      <c r="B896" t="s">
        <v>61</v>
      </c>
      <c r="C896">
        <v>9</v>
      </c>
      <c r="D896">
        <v>55.3</v>
      </c>
      <c r="E896">
        <v>497.7</v>
      </c>
      <c r="F896" s="1">
        <v>45694</v>
      </c>
      <c r="G896" s="1">
        <v>45696</v>
      </c>
      <c r="H896" t="s">
        <v>12</v>
      </c>
      <c r="I896" t="s">
        <v>20</v>
      </c>
      <c r="J896">
        <v>2</v>
      </c>
      <c r="K896" t="s">
        <v>4</v>
      </c>
      <c r="L896" t="s">
        <v>62</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5">
      <c r="A897" t="s">
        <v>977</v>
      </c>
      <c r="B897" t="s">
        <v>11</v>
      </c>
      <c r="C897">
        <v>28</v>
      </c>
      <c r="D897">
        <v>75.5</v>
      </c>
      <c r="E897">
        <v>2114</v>
      </c>
      <c r="F897" s="1">
        <v>45694</v>
      </c>
      <c r="G897" s="1">
        <v>45695</v>
      </c>
      <c r="H897" t="s">
        <v>12</v>
      </c>
      <c r="I897" t="s">
        <v>3</v>
      </c>
      <c r="J897">
        <v>4</v>
      </c>
      <c r="K897" t="s">
        <v>4</v>
      </c>
      <c r="L897" t="s">
        <v>62</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5">
      <c r="A898" t="s">
        <v>978</v>
      </c>
      <c r="B898" t="s">
        <v>29</v>
      </c>
      <c r="C898">
        <v>1</v>
      </c>
      <c r="D898">
        <v>23.6</v>
      </c>
      <c r="E898">
        <v>23.6</v>
      </c>
      <c r="F898" s="1">
        <v>45694</v>
      </c>
      <c r="G898" s="1">
        <v>45699</v>
      </c>
      <c r="H898" t="s">
        <v>12</v>
      </c>
      <c r="I898" t="s">
        <v>3</v>
      </c>
      <c r="J898">
        <v>4</v>
      </c>
      <c r="K898" t="s">
        <v>4</v>
      </c>
      <c r="L898" t="s">
        <v>95</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5">
      <c r="A899" t="s">
        <v>979</v>
      </c>
      <c r="B899" t="s">
        <v>31</v>
      </c>
      <c r="C899">
        <v>2</v>
      </c>
      <c r="D899">
        <v>70.7</v>
      </c>
      <c r="E899">
        <v>141.4</v>
      </c>
      <c r="F899" s="1">
        <v>45694</v>
      </c>
      <c r="G899" s="1">
        <v>45696</v>
      </c>
      <c r="H899" t="s">
        <v>12</v>
      </c>
      <c r="I899" t="s">
        <v>25</v>
      </c>
      <c r="J899">
        <v>4</v>
      </c>
      <c r="K899" t="s">
        <v>4</v>
      </c>
      <c r="L899" t="s">
        <v>95</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5">
      <c r="A900" t="s">
        <v>980</v>
      </c>
      <c r="B900" t="s">
        <v>54</v>
      </c>
      <c r="C900">
        <v>2</v>
      </c>
      <c r="D900">
        <v>43.2</v>
      </c>
      <c r="E900">
        <v>86.4</v>
      </c>
      <c r="F900" s="1">
        <v>45694</v>
      </c>
      <c r="G900" s="1">
        <v>45695</v>
      </c>
      <c r="H900" t="s">
        <v>12</v>
      </c>
      <c r="I900" t="s">
        <v>25</v>
      </c>
      <c r="J900">
        <v>4</v>
      </c>
      <c r="K900" t="s">
        <v>4</v>
      </c>
      <c r="L900" t="s">
        <v>277</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5">
      <c r="A901" t="s">
        <v>981</v>
      </c>
      <c r="B901" t="s">
        <v>31</v>
      </c>
      <c r="C901">
        <v>9</v>
      </c>
      <c r="D901">
        <v>70</v>
      </c>
      <c r="E901">
        <v>630</v>
      </c>
      <c r="F901" s="1">
        <v>45694</v>
      </c>
      <c r="G901" s="1">
        <v>45695</v>
      </c>
      <c r="H901" t="s">
        <v>2</v>
      </c>
      <c r="I901" t="s">
        <v>20</v>
      </c>
      <c r="J901">
        <v>4</v>
      </c>
      <c r="K901" t="s">
        <v>4</v>
      </c>
      <c r="L901" t="s">
        <v>982</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5">
      <c r="A902" t="s">
        <v>983</v>
      </c>
      <c r="B902" t="s">
        <v>1</v>
      </c>
      <c r="C902">
        <v>2</v>
      </c>
      <c r="D902">
        <v>20.5</v>
      </c>
      <c r="E902">
        <v>41</v>
      </c>
      <c r="F902" s="1">
        <v>45694</v>
      </c>
      <c r="G902" s="1">
        <v>45696</v>
      </c>
      <c r="H902" t="s">
        <v>12</v>
      </c>
      <c r="I902" t="s">
        <v>25</v>
      </c>
      <c r="J902">
        <v>2</v>
      </c>
      <c r="K902" t="s">
        <v>4</v>
      </c>
      <c r="L902" t="s">
        <v>67</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5">
      <c r="A903" t="s">
        <v>984</v>
      </c>
      <c r="B903" t="s">
        <v>1</v>
      </c>
      <c r="C903">
        <v>4</v>
      </c>
      <c r="D903">
        <v>29.1</v>
      </c>
      <c r="E903">
        <v>116.4</v>
      </c>
      <c r="F903" s="1">
        <v>45694</v>
      </c>
      <c r="G903" s="1">
        <v>45695</v>
      </c>
      <c r="H903" t="s">
        <v>12</v>
      </c>
      <c r="I903" t="s">
        <v>36</v>
      </c>
      <c r="J903">
        <v>4</v>
      </c>
      <c r="K903" t="s">
        <v>4</v>
      </c>
      <c r="L903" t="s">
        <v>228</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5">
      <c r="A904" t="s">
        <v>985</v>
      </c>
      <c r="B904" t="s">
        <v>24</v>
      </c>
      <c r="C904">
        <v>9</v>
      </c>
      <c r="D904">
        <v>53.6</v>
      </c>
      <c r="E904">
        <v>482.40000000000003</v>
      </c>
      <c r="F904" s="1">
        <v>45694</v>
      </c>
      <c r="G904" s="1">
        <v>45695</v>
      </c>
      <c r="H904" t="s">
        <v>8</v>
      </c>
      <c r="I904" t="s">
        <v>25</v>
      </c>
      <c r="J904">
        <v>3</v>
      </c>
      <c r="K904" t="s">
        <v>4</v>
      </c>
      <c r="L904" t="s">
        <v>18</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5">
      <c r="A905" t="s">
        <v>986</v>
      </c>
      <c r="B905" t="s">
        <v>24</v>
      </c>
      <c r="C905">
        <v>5</v>
      </c>
      <c r="D905">
        <v>72.3</v>
      </c>
      <c r="E905">
        <v>361.5</v>
      </c>
      <c r="F905" s="1">
        <v>45694</v>
      </c>
      <c r="G905" s="1">
        <v>45696</v>
      </c>
      <c r="H905" t="s">
        <v>12</v>
      </c>
      <c r="I905" t="s">
        <v>20</v>
      </c>
      <c r="J905">
        <v>4</v>
      </c>
      <c r="K905" t="s">
        <v>4</v>
      </c>
      <c r="L905" t="s">
        <v>18</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5">
      <c r="A906" t="s">
        <v>987</v>
      </c>
      <c r="B906" t="s">
        <v>61</v>
      </c>
      <c r="C906">
        <v>4</v>
      </c>
      <c r="D906">
        <v>22.6</v>
      </c>
      <c r="E906">
        <v>90.4</v>
      </c>
      <c r="F906" s="1">
        <v>45694</v>
      </c>
      <c r="G906" s="1">
        <v>45697</v>
      </c>
      <c r="H906" t="s">
        <v>74</v>
      </c>
      <c r="I906" t="s">
        <v>3</v>
      </c>
      <c r="J906">
        <v>3</v>
      </c>
      <c r="K906" t="s">
        <v>4</v>
      </c>
      <c r="L906" t="s">
        <v>18</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5">
      <c r="A907" t="s">
        <v>988</v>
      </c>
      <c r="B907" t="s">
        <v>31</v>
      </c>
      <c r="C907">
        <v>2</v>
      </c>
      <c r="D907">
        <v>44.2</v>
      </c>
      <c r="E907">
        <v>88.4</v>
      </c>
      <c r="F907" s="1">
        <v>45694</v>
      </c>
      <c r="G907" s="1">
        <v>45698</v>
      </c>
      <c r="H907" t="s">
        <v>2</v>
      </c>
      <c r="I907" t="s">
        <v>25</v>
      </c>
      <c r="J907">
        <v>2</v>
      </c>
      <c r="K907" t="s">
        <v>4</v>
      </c>
      <c r="L907" t="s">
        <v>18</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5">
      <c r="A908" t="s">
        <v>989</v>
      </c>
      <c r="B908" t="s">
        <v>31</v>
      </c>
      <c r="C908">
        <v>3</v>
      </c>
      <c r="D908">
        <v>94.1</v>
      </c>
      <c r="E908">
        <v>282.29999999999995</v>
      </c>
      <c r="F908" s="1">
        <v>45694</v>
      </c>
      <c r="G908" s="1">
        <v>45707</v>
      </c>
      <c r="H908" t="s">
        <v>12</v>
      </c>
      <c r="I908" t="s">
        <v>25</v>
      </c>
      <c r="J908">
        <v>5</v>
      </c>
      <c r="K908" t="s">
        <v>4</v>
      </c>
      <c r="L908" t="s">
        <v>18</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5">
      <c r="A909" t="s">
        <v>990</v>
      </c>
      <c r="B909" t="s">
        <v>29</v>
      </c>
      <c r="C909">
        <v>3</v>
      </c>
      <c r="D909">
        <v>17.899999999999999</v>
      </c>
      <c r="E909">
        <v>53.699999999999996</v>
      </c>
      <c r="F909" s="1">
        <v>45694</v>
      </c>
      <c r="G909" s="1">
        <v>45696</v>
      </c>
      <c r="H909" t="s">
        <v>8</v>
      </c>
      <c r="I909" t="s">
        <v>20</v>
      </c>
      <c r="J909">
        <v>3</v>
      </c>
      <c r="K909" t="s">
        <v>4</v>
      </c>
      <c r="L909" t="s">
        <v>18</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5">
      <c r="A910" t="s">
        <v>991</v>
      </c>
      <c r="B910" t="s">
        <v>54</v>
      </c>
      <c r="C910">
        <v>7</v>
      </c>
      <c r="D910">
        <v>52.7</v>
      </c>
      <c r="E910">
        <v>368.90000000000003</v>
      </c>
      <c r="F910" s="1">
        <v>45694</v>
      </c>
      <c r="G910" s="1">
        <v>45695</v>
      </c>
      <c r="H910" t="s">
        <v>8</v>
      </c>
      <c r="I910" t="s">
        <v>20</v>
      </c>
      <c r="J910">
        <v>3</v>
      </c>
      <c r="K910" t="s">
        <v>4</v>
      </c>
      <c r="L910" t="s">
        <v>18</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5">
      <c r="A911" t="s">
        <v>992</v>
      </c>
      <c r="B911" t="s">
        <v>29</v>
      </c>
      <c r="C911">
        <v>1</v>
      </c>
      <c r="D911">
        <v>36.799999999999997</v>
      </c>
      <c r="E911">
        <v>36.799999999999997</v>
      </c>
      <c r="F911" s="1">
        <v>45694</v>
      </c>
      <c r="G911" s="1">
        <v>45694</v>
      </c>
      <c r="H911" t="s">
        <v>2</v>
      </c>
      <c r="I911" t="s">
        <v>3</v>
      </c>
      <c r="J911">
        <v>5</v>
      </c>
      <c r="K911" t="s">
        <v>4</v>
      </c>
      <c r="L911" t="s">
        <v>18</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5">
      <c r="A912" t="s">
        <v>993</v>
      </c>
      <c r="B912" t="s">
        <v>17</v>
      </c>
      <c r="C912">
        <v>1</v>
      </c>
      <c r="D912">
        <v>52.5</v>
      </c>
      <c r="E912">
        <v>52.5</v>
      </c>
      <c r="F912" s="1">
        <v>45694</v>
      </c>
      <c r="G912" s="1">
        <v>45695</v>
      </c>
      <c r="H912" t="s">
        <v>8</v>
      </c>
      <c r="I912" t="s">
        <v>3</v>
      </c>
      <c r="J912">
        <v>3</v>
      </c>
      <c r="K912" t="s">
        <v>4</v>
      </c>
      <c r="L912" t="s">
        <v>40</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5">
      <c r="A913" t="s">
        <v>994</v>
      </c>
      <c r="B913" t="s">
        <v>11</v>
      </c>
      <c r="C913">
        <v>2</v>
      </c>
      <c r="D913">
        <v>133.80000000000001</v>
      </c>
      <c r="E913">
        <v>267.60000000000002</v>
      </c>
      <c r="F913" s="1">
        <v>45694</v>
      </c>
      <c r="G913" s="1">
        <v>45696</v>
      </c>
      <c r="H913" t="s">
        <v>8</v>
      </c>
      <c r="I913" t="s">
        <v>3</v>
      </c>
      <c r="J913">
        <v>3</v>
      </c>
      <c r="K913" t="s">
        <v>4</v>
      </c>
      <c r="L913" t="s">
        <v>44</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5">
      <c r="A914" t="s">
        <v>995</v>
      </c>
      <c r="B914" t="s">
        <v>24</v>
      </c>
      <c r="C914">
        <v>2</v>
      </c>
      <c r="D914">
        <v>53.2</v>
      </c>
      <c r="E914">
        <v>106.4</v>
      </c>
      <c r="F914" s="1">
        <v>45694</v>
      </c>
      <c r="G914" s="1">
        <v>45696</v>
      </c>
      <c r="H914" t="s">
        <v>8</v>
      </c>
      <c r="I914" t="s">
        <v>3</v>
      </c>
      <c r="J914">
        <v>4</v>
      </c>
      <c r="K914" t="s">
        <v>4</v>
      </c>
      <c r="L914" t="s">
        <v>88</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5">
      <c r="A915" t="s">
        <v>996</v>
      </c>
      <c r="B915" t="s">
        <v>66</v>
      </c>
      <c r="C915">
        <v>6</v>
      </c>
      <c r="D915">
        <v>18.7</v>
      </c>
      <c r="E915">
        <v>112.19999999999999</v>
      </c>
      <c r="F915" s="1">
        <v>45694</v>
      </c>
      <c r="G915" s="1">
        <v>45696</v>
      </c>
      <c r="H915" t="s">
        <v>2</v>
      </c>
      <c r="I915" t="s">
        <v>3</v>
      </c>
      <c r="J915">
        <v>3</v>
      </c>
      <c r="K915" t="s">
        <v>4</v>
      </c>
      <c r="L915" t="s">
        <v>59</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5">
      <c r="A916" t="s">
        <v>997</v>
      </c>
      <c r="B916" t="s">
        <v>24</v>
      </c>
      <c r="C916">
        <v>4</v>
      </c>
      <c r="D916">
        <v>108.8</v>
      </c>
      <c r="E916">
        <v>435.2</v>
      </c>
      <c r="F916" s="1">
        <v>45694</v>
      </c>
      <c r="G916" s="1">
        <v>45695</v>
      </c>
      <c r="H916" t="s">
        <v>12</v>
      </c>
      <c r="I916" t="s">
        <v>36</v>
      </c>
      <c r="J916">
        <v>5</v>
      </c>
      <c r="K916" t="s">
        <v>4</v>
      </c>
      <c r="L916" t="s">
        <v>62</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5">
      <c r="A917" t="s">
        <v>998</v>
      </c>
      <c r="B917" t="s">
        <v>108</v>
      </c>
      <c r="C917">
        <v>5</v>
      </c>
      <c r="D917">
        <v>38.5</v>
      </c>
      <c r="E917">
        <v>192.5</v>
      </c>
      <c r="F917" s="1">
        <v>45694</v>
      </c>
      <c r="G917" s="1">
        <v>45698</v>
      </c>
      <c r="H917" t="s">
        <v>12</v>
      </c>
      <c r="I917" t="s">
        <v>3</v>
      </c>
      <c r="J917">
        <v>3</v>
      </c>
      <c r="K917" t="s">
        <v>4</v>
      </c>
      <c r="L917" t="s">
        <v>69</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5">
      <c r="A918" t="s">
        <v>999</v>
      </c>
      <c r="B918" t="s">
        <v>39</v>
      </c>
      <c r="C918">
        <v>10</v>
      </c>
      <c r="D918">
        <v>46.5</v>
      </c>
      <c r="E918">
        <v>465</v>
      </c>
      <c r="F918" s="1">
        <v>45694</v>
      </c>
      <c r="G918" s="1">
        <v>45696</v>
      </c>
      <c r="H918" t="s">
        <v>8</v>
      </c>
      <c r="I918" t="s">
        <v>25</v>
      </c>
      <c r="J918">
        <v>3</v>
      </c>
      <c r="K918" t="s">
        <v>4</v>
      </c>
      <c r="L918" t="s">
        <v>13</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5">
      <c r="A919" t="s">
        <v>1000</v>
      </c>
      <c r="B919" t="s">
        <v>11</v>
      </c>
      <c r="C919">
        <v>3</v>
      </c>
      <c r="D919">
        <v>75.8</v>
      </c>
      <c r="E919">
        <v>227.39999999999998</v>
      </c>
      <c r="F919" s="1">
        <v>45694</v>
      </c>
      <c r="G919" s="1">
        <v>45698</v>
      </c>
      <c r="H919" t="s">
        <v>12</v>
      </c>
      <c r="I919" t="s">
        <v>20</v>
      </c>
      <c r="J919">
        <v>2</v>
      </c>
      <c r="K919" t="s">
        <v>4</v>
      </c>
      <c r="L919" t="s">
        <v>572</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5">
      <c r="A920" t="s">
        <v>1001</v>
      </c>
      <c r="B920" t="s">
        <v>29</v>
      </c>
      <c r="C920">
        <v>1</v>
      </c>
      <c r="D920">
        <v>20.9</v>
      </c>
      <c r="E920">
        <v>20.9</v>
      </c>
      <c r="F920" s="1">
        <v>45694</v>
      </c>
      <c r="G920" s="1">
        <v>45698</v>
      </c>
      <c r="H920" t="s">
        <v>8</v>
      </c>
      <c r="I920" t="s">
        <v>3</v>
      </c>
      <c r="J920">
        <v>4</v>
      </c>
      <c r="K920" t="s">
        <v>4</v>
      </c>
      <c r="L920" t="s">
        <v>132</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5">
      <c r="A921" t="s">
        <v>1002</v>
      </c>
      <c r="B921" t="s">
        <v>131</v>
      </c>
      <c r="C921">
        <v>3</v>
      </c>
      <c r="D921">
        <v>47.4</v>
      </c>
      <c r="E921">
        <v>142.19999999999999</v>
      </c>
      <c r="F921" s="1">
        <v>45694</v>
      </c>
      <c r="G921" s="1">
        <v>45697</v>
      </c>
      <c r="H921" t="s">
        <v>12</v>
      </c>
      <c r="I921" t="s">
        <v>3</v>
      </c>
      <c r="J921">
        <v>4</v>
      </c>
      <c r="K921" t="s">
        <v>4</v>
      </c>
      <c r="L921" t="s">
        <v>18</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5">
      <c r="A922" t="s">
        <v>1003</v>
      </c>
      <c r="B922" t="s">
        <v>31</v>
      </c>
      <c r="C922">
        <v>2</v>
      </c>
      <c r="D922">
        <v>53.8</v>
      </c>
      <c r="E922">
        <v>107.6</v>
      </c>
      <c r="F922" s="1">
        <v>45694</v>
      </c>
      <c r="G922" s="1">
        <v>45695</v>
      </c>
      <c r="H922" t="s">
        <v>2</v>
      </c>
      <c r="I922" t="s">
        <v>3</v>
      </c>
      <c r="J922">
        <v>3</v>
      </c>
      <c r="K922" t="s">
        <v>4</v>
      </c>
      <c r="L922" t="s">
        <v>18</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5">
      <c r="A923" t="s">
        <v>1004</v>
      </c>
      <c r="B923" t="s">
        <v>29</v>
      </c>
      <c r="C923">
        <v>3</v>
      </c>
      <c r="D923">
        <v>24.6</v>
      </c>
      <c r="E923">
        <v>73.800000000000011</v>
      </c>
      <c r="F923" s="1">
        <v>45694</v>
      </c>
      <c r="G923" s="1">
        <v>45696</v>
      </c>
      <c r="H923" t="s">
        <v>74</v>
      </c>
      <c r="I923" t="s">
        <v>20</v>
      </c>
      <c r="J923">
        <v>5</v>
      </c>
      <c r="K923" t="s">
        <v>4</v>
      </c>
      <c r="L923" t="s">
        <v>18</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5">
      <c r="A924" t="s">
        <v>1005</v>
      </c>
      <c r="B924" t="s">
        <v>31</v>
      </c>
      <c r="C924">
        <v>3</v>
      </c>
      <c r="D924">
        <v>70.900000000000006</v>
      </c>
      <c r="E924">
        <v>212.70000000000002</v>
      </c>
      <c r="F924" s="1">
        <v>45694</v>
      </c>
      <c r="G924" s="1">
        <v>45699</v>
      </c>
      <c r="H924" t="s">
        <v>12</v>
      </c>
      <c r="I924" t="s">
        <v>25</v>
      </c>
      <c r="J924">
        <v>5</v>
      </c>
      <c r="K924" t="s">
        <v>4</v>
      </c>
      <c r="L924" t="s">
        <v>18</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5">
      <c r="A925" t="s">
        <v>1006</v>
      </c>
      <c r="B925" t="s">
        <v>120</v>
      </c>
      <c r="C925">
        <v>3</v>
      </c>
      <c r="D925">
        <v>31.9</v>
      </c>
      <c r="E925">
        <v>95.699999999999989</v>
      </c>
      <c r="F925" s="1">
        <v>45694</v>
      </c>
      <c r="G925" s="1">
        <v>45696</v>
      </c>
      <c r="H925" t="s">
        <v>12</v>
      </c>
      <c r="I925" t="s">
        <v>25</v>
      </c>
      <c r="J925">
        <v>5</v>
      </c>
      <c r="K925" t="s">
        <v>4</v>
      </c>
      <c r="L925" t="s">
        <v>18</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5">
      <c r="A926" t="s">
        <v>1007</v>
      </c>
      <c r="B926" t="s">
        <v>1</v>
      </c>
      <c r="C926">
        <v>2</v>
      </c>
      <c r="D926">
        <v>20.399999999999999</v>
      </c>
      <c r="E926">
        <v>40.799999999999997</v>
      </c>
      <c r="F926" s="1">
        <v>45694</v>
      </c>
      <c r="G926" s="1">
        <v>45698</v>
      </c>
      <c r="H926" t="s">
        <v>8</v>
      </c>
      <c r="I926" t="s">
        <v>36</v>
      </c>
      <c r="J926">
        <v>5</v>
      </c>
      <c r="K926" t="s">
        <v>4</v>
      </c>
      <c r="L926" t="s">
        <v>18</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5">
      <c r="A927" t="s">
        <v>1008</v>
      </c>
      <c r="B927" t="s">
        <v>29</v>
      </c>
      <c r="C927">
        <v>2</v>
      </c>
      <c r="D927">
        <v>18.600000000000001</v>
      </c>
      <c r="E927">
        <v>37.200000000000003</v>
      </c>
      <c r="F927" s="1">
        <v>45694</v>
      </c>
      <c r="G927" s="1">
        <v>45696</v>
      </c>
      <c r="H927" t="s">
        <v>2</v>
      </c>
      <c r="I927" t="s">
        <v>3</v>
      </c>
      <c r="J927">
        <v>3</v>
      </c>
      <c r="K927" t="s">
        <v>4</v>
      </c>
      <c r="L927" t="s">
        <v>18</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5">
      <c r="A928" t="s">
        <v>1009</v>
      </c>
      <c r="B928" t="s">
        <v>17</v>
      </c>
      <c r="C928">
        <v>5</v>
      </c>
      <c r="D928">
        <v>48.3</v>
      </c>
      <c r="E928">
        <v>241.5</v>
      </c>
      <c r="F928" s="1">
        <v>45694</v>
      </c>
      <c r="G928" s="1">
        <v>45696</v>
      </c>
      <c r="H928" t="s">
        <v>12</v>
      </c>
      <c r="I928" t="s">
        <v>20</v>
      </c>
      <c r="J928">
        <v>4</v>
      </c>
      <c r="K928" t="s">
        <v>4</v>
      </c>
      <c r="L928" t="s">
        <v>18</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5">
      <c r="A929" t="s">
        <v>1010</v>
      </c>
      <c r="B929" t="s">
        <v>1</v>
      </c>
      <c r="C929">
        <v>4</v>
      </c>
      <c r="D929">
        <v>27.7</v>
      </c>
      <c r="E929">
        <v>110.8</v>
      </c>
      <c r="F929" s="1">
        <v>45694</v>
      </c>
      <c r="G929" s="1">
        <v>45696</v>
      </c>
      <c r="H929" t="s">
        <v>12</v>
      </c>
      <c r="I929" t="s">
        <v>3</v>
      </c>
      <c r="J929">
        <v>4</v>
      </c>
      <c r="K929" t="s">
        <v>4</v>
      </c>
      <c r="L929" t="s">
        <v>18</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5">
      <c r="A930" t="s">
        <v>1011</v>
      </c>
      <c r="B930" t="s">
        <v>17</v>
      </c>
      <c r="C930">
        <v>5</v>
      </c>
      <c r="D930">
        <v>22.5</v>
      </c>
      <c r="E930">
        <v>112.5</v>
      </c>
      <c r="F930" s="1">
        <v>45694</v>
      </c>
      <c r="G930" s="1">
        <v>45696</v>
      </c>
      <c r="H930" t="s">
        <v>12</v>
      </c>
      <c r="I930" t="s">
        <v>55</v>
      </c>
      <c r="J930">
        <v>5</v>
      </c>
      <c r="K930" t="s">
        <v>4</v>
      </c>
      <c r="L930" t="s">
        <v>18</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5">
      <c r="A931" t="s">
        <v>1012</v>
      </c>
      <c r="B931" t="s">
        <v>120</v>
      </c>
      <c r="C931">
        <v>5</v>
      </c>
      <c r="D931">
        <v>21.6</v>
      </c>
      <c r="E931">
        <v>108</v>
      </c>
      <c r="F931" s="1">
        <v>45694</v>
      </c>
      <c r="G931" s="1">
        <v>45702</v>
      </c>
      <c r="H931" t="s">
        <v>12</v>
      </c>
      <c r="I931" t="s">
        <v>3</v>
      </c>
      <c r="J931">
        <v>3</v>
      </c>
      <c r="K931" t="s">
        <v>4</v>
      </c>
      <c r="L931" t="s">
        <v>18</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5">
      <c r="A932" t="s">
        <v>1013</v>
      </c>
      <c r="B932" t="s">
        <v>39</v>
      </c>
      <c r="C932">
        <v>7</v>
      </c>
      <c r="D932">
        <v>26.3</v>
      </c>
      <c r="E932">
        <v>184.1</v>
      </c>
      <c r="F932" s="1">
        <v>45694</v>
      </c>
      <c r="G932" s="1">
        <v>45694</v>
      </c>
      <c r="H932" t="s">
        <v>12</v>
      </c>
      <c r="I932" t="s">
        <v>25</v>
      </c>
      <c r="J932">
        <v>3</v>
      </c>
      <c r="K932" t="s">
        <v>4</v>
      </c>
      <c r="L932" t="s">
        <v>18</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5">
      <c r="A933" t="s">
        <v>1014</v>
      </c>
      <c r="B933" t="s">
        <v>24</v>
      </c>
      <c r="C933">
        <v>7</v>
      </c>
      <c r="D933">
        <v>103</v>
      </c>
      <c r="E933">
        <v>721</v>
      </c>
      <c r="F933" s="1">
        <v>45695</v>
      </c>
      <c r="G933" s="1">
        <v>45696</v>
      </c>
      <c r="H933" t="s">
        <v>8</v>
      </c>
      <c r="I933" t="s">
        <v>3</v>
      </c>
      <c r="J933">
        <v>5</v>
      </c>
      <c r="K933" t="s">
        <v>4</v>
      </c>
      <c r="L933" t="s">
        <v>40</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5">
      <c r="A934" t="s">
        <v>1015</v>
      </c>
      <c r="B934" t="s">
        <v>22</v>
      </c>
      <c r="C934">
        <v>15</v>
      </c>
      <c r="D934">
        <v>46.6</v>
      </c>
      <c r="E934">
        <v>699</v>
      </c>
      <c r="F934" s="1">
        <v>45695</v>
      </c>
      <c r="G934" s="1">
        <v>45696</v>
      </c>
      <c r="H934" t="s">
        <v>12</v>
      </c>
      <c r="I934" t="s">
        <v>3</v>
      </c>
      <c r="J934">
        <v>3</v>
      </c>
      <c r="K934" t="s">
        <v>4</v>
      </c>
      <c r="L934" t="s">
        <v>40</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5">
      <c r="A935" t="s">
        <v>1016</v>
      </c>
      <c r="B935" t="s">
        <v>1</v>
      </c>
      <c r="C935">
        <v>5</v>
      </c>
      <c r="D935">
        <v>32.200000000000003</v>
      </c>
      <c r="E935">
        <v>161</v>
      </c>
      <c r="F935" s="1">
        <v>45695</v>
      </c>
      <c r="G935" s="1">
        <v>45698</v>
      </c>
      <c r="H935" t="s">
        <v>12</v>
      </c>
      <c r="I935" t="s">
        <v>3</v>
      </c>
      <c r="J935">
        <v>5</v>
      </c>
      <c r="K935" t="s">
        <v>4</v>
      </c>
      <c r="L935" t="s">
        <v>327</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5">
      <c r="A936" t="s">
        <v>1017</v>
      </c>
      <c r="B936" t="s">
        <v>29</v>
      </c>
      <c r="C936">
        <v>3</v>
      </c>
      <c r="D936">
        <v>22</v>
      </c>
      <c r="E936">
        <v>66</v>
      </c>
      <c r="F936" s="1">
        <v>45695</v>
      </c>
      <c r="G936" s="1">
        <v>45702</v>
      </c>
      <c r="H936" t="s">
        <v>8</v>
      </c>
      <c r="I936" t="s">
        <v>20</v>
      </c>
      <c r="J936">
        <v>4</v>
      </c>
      <c r="K936" t="s">
        <v>4</v>
      </c>
      <c r="L936" t="s">
        <v>44</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5">
      <c r="A937" t="s">
        <v>1018</v>
      </c>
      <c r="B937" t="s">
        <v>1</v>
      </c>
      <c r="C937">
        <v>2</v>
      </c>
      <c r="D937">
        <v>25.2</v>
      </c>
      <c r="E937">
        <v>50.4</v>
      </c>
      <c r="F937" s="1">
        <v>45695</v>
      </c>
      <c r="G937" s="1">
        <v>45699</v>
      </c>
      <c r="H937" t="s">
        <v>12</v>
      </c>
      <c r="I937" t="s">
        <v>3</v>
      </c>
      <c r="J937">
        <v>4</v>
      </c>
      <c r="K937" t="s">
        <v>4</v>
      </c>
      <c r="L937" t="s">
        <v>44</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5">
      <c r="A938" t="s">
        <v>1019</v>
      </c>
      <c r="B938" t="s">
        <v>7</v>
      </c>
      <c r="C938">
        <v>6</v>
      </c>
      <c r="D938">
        <v>68.7</v>
      </c>
      <c r="E938">
        <v>412.20000000000005</v>
      </c>
      <c r="F938" s="1">
        <v>45695</v>
      </c>
      <c r="G938" s="1">
        <v>45697</v>
      </c>
      <c r="H938" t="s">
        <v>8</v>
      </c>
      <c r="I938" t="s">
        <v>55</v>
      </c>
      <c r="J938">
        <v>4</v>
      </c>
      <c r="K938" t="s">
        <v>4</v>
      </c>
      <c r="L938" t="s">
        <v>47</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5">
      <c r="A939" t="s">
        <v>1020</v>
      </c>
      <c r="B939" t="s">
        <v>1</v>
      </c>
      <c r="C939">
        <v>3</v>
      </c>
      <c r="D939">
        <v>22.2</v>
      </c>
      <c r="E939">
        <v>66.599999999999994</v>
      </c>
      <c r="F939" s="1">
        <v>45695</v>
      </c>
      <c r="G939" s="1">
        <v>45698</v>
      </c>
      <c r="H939" t="s">
        <v>8</v>
      </c>
      <c r="I939" t="s">
        <v>25</v>
      </c>
      <c r="J939">
        <v>5</v>
      </c>
      <c r="K939" t="s">
        <v>4</v>
      </c>
      <c r="L939" t="s">
        <v>47</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5">
      <c r="A940" t="s">
        <v>1021</v>
      </c>
      <c r="B940" t="s">
        <v>7</v>
      </c>
      <c r="C940">
        <v>7</v>
      </c>
      <c r="D940">
        <v>36</v>
      </c>
      <c r="E940">
        <v>252</v>
      </c>
      <c r="F940" s="1">
        <v>45695</v>
      </c>
      <c r="G940" s="1">
        <v>45696</v>
      </c>
      <c r="H940" t="s">
        <v>12</v>
      </c>
      <c r="I940" t="s">
        <v>20</v>
      </c>
      <c r="J940">
        <v>4</v>
      </c>
      <c r="K940" t="s">
        <v>4</v>
      </c>
      <c r="L940" t="s">
        <v>47</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5">
      <c r="A941" t="s">
        <v>1022</v>
      </c>
      <c r="B941" t="s">
        <v>131</v>
      </c>
      <c r="C941">
        <v>1</v>
      </c>
      <c r="D941">
        <v>50.6</v>
      </c>
      <c r="E941">
        <v>50.6</v>
      </c>
      <c r="F941" s="1">
        <v>45695</v>
      </c>
      <c r="G941" s="1">
        <v>45697</v>
      </c>
      <c r="H941" t="s">
        <v>12</v>
      </c>
      <c r="I941" t="s">
        <v>3</v>
      </c>
      <c r="J941">
        <v>3</v>
      </c>
      <c r="K941" t="s">
        <v>4</v>
      </c>
      <c r="L941" t="s">
        <v>47</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5">
      <c r="A942" t="s">
        <v>1023</v>
      </c>
      <c r="B942" t="s">
        <v>108</v>
      </c>
      <c r="C942">
        <v>2</v>
      </c>
      <c r="D942">
        <v>44.9</v>
      </c>
      <c r="E942">
        <v>89.8</v>
      </c>
      <c r="F942" s="1">
        <v>45695</v>
      </c>
      <c r="G942" s="1">
        <v>45697</v>
      </c>
      <c r="H942" t="s">
        <v>8</v>
      </c>
      <c r="I942" t="s">
        <v>3</v>
      </c>
      <c r="J942">
        <v>3</v>
      </c>
      <c r="K942" t="s">
        <v>4</v>
      </c>
      <c r="L942" t="s">
        <v>47</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5">
      <c r="A943" t="s">
        <v>1024</v>
      </c>
      <c r="B943" t="s">
        <v>24</v>
      </c>
      <c r="C943">
        <v>3</v>
      </c>
      <c r="D943">
        <v>71.599999999999994</v>
      </c>
      <c r="E943">
        <v>214.79999999999998</v>
      </c>
      <c r="F943" s="1">
        <v>45695</v>
      </c>
      <c r="G943" s="1">
        <v>45699</v>
      </c>
      <c r="H943" t="s">
        <v>8</v>
      </c>
      <c r="I943" t="s">
        <v>20</v>
      </c>
      <c r="J943">
        <v>5</v>
      </c>
      <c r="K943" t="s">
        <v>4</v>
      </c>
      <c r="L943" t="s">
        <v>59</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5">
      <c r="A944" t="s">
        <v>1025</v>
      </c>
      <c r="B944" t="s">
        <v>24</v>
      </c>
      <c r="C944">
        <v>6</v>
      </c>
      <c r="D944">
        <v>51.5</v>
      </c>
      <c r="E944">
        <v>309</v>
      </c>
      <c r="F944" s="1">
        <v>45695</v>
      </c>
      <c r="G944" s="1">
        <v>45697</v>
      </c>
      <c r="H944" t="s">
        <v>2</v>
      </c>
      <c r="I944" t="s">
        <v>55</v>
      </c>
      <c r="J944">
        <v>4</v>
      </c>
      <c r="K944" t="s">
        <v>4</v>
      </c>
      <c r="L944" t="s">
        <v>62</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5">
      <c r="A945" t="s">
        <v>1026</v>
      </c>
      <c r="B945" t="s">
        <v>27</v>
      </c>
      <c r="C945">
        <v>5</v>
      </c>
      <c r="D945">
        <v>55.5</v>
      </c>
      <c r="E945">
        <v>277.5</v>
      </c>
      <c r="F945" s="1">
        <v>45695</v>
      </c>
      <c r="G945" s="1">
        <v>45696</v>
      </c>
      <c r="H945" t="s">
        <v>8</v>
      </c>
      <c r="I945" t="s">
        <v>20</v>
      </c>
      <c r="J945">
        <v>3</v>
      </c>
      <c r="K945" t="s">
        <v>4</v>
      </c>
      <c r="L945" t="s">
        <v>62</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5">
      <c r="A946" t="s">
        <v>1027</v>
      </c>
      <c r="B946" t="s">
        <v>24</v>
      </c>
      <c r="C946">
        <v>1</v>
      </c>
      <c r="D946">
        <v>51.7</v>
      </c>
      <c r="E946">
        <v>51.7</v>
      </c>
      <c r="F946" s="1">
        <v>45695</v>
      </c>
      <c r="G946" s="1">
        <v>45709</v>
      </c>
      <c r="H946" t="s">
        <v>8</v>
      </c>
      <c r="I946" t="s">
        <v>25</v>
      </c>
      <c r="J946">
        <v>4</v>
      </c>
      <c r="K946" t="s">
        <v>4</v>
      </c>
      <c r="L946" t="s">
        <v>95</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5">
      <c r="A947" t="s">
        <v>1028</v>
      </c>
      <c r="B947" t="s">
        <v>29</v>
      </c>
      <c r="C947">
        <v>21</v>
      </c>
      <c r="D947">
        <v>45.5</v>
      </c>
      <c r="E947">
        <v>955.5</v>
      </c>
      <c r="F947" s="1">
        <v>45695</v>
      </c>
      <c r="G947" s="1">
        <v>45696</v>
      </c>
      <c r="H947" t="s">
        <v>12</v>
      </c>
      <c r="I947" t="s">
        <v>36</v>
      </c>
      <c r="J947">
        <v>5</v>
      </c>
      <c r="K947" t="s">
        <v>4</v>
      </c>
      <c r="L947" t="s">
        <v>95</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5">
      <c r="A948" t="s">
        <v>1029</v>
      </c>
      <c r="B948" t="s">
        <v>29</v>
      </c>
      <c r="C948">
        <v>2</v>
      </c>
      <c r="D948">
        <v>33.799999999999997</v>
      </c>
      <c r="E948">
        <v>67.599999999999994</v>
      </c>
      <c r="F948" s="1">
        <v>45695</v>
      </c>
      <c r="G948" s="1">
        <v>45701</v>
      </c>
      <c r="H948" t="s">
        <v>12</v>
      </c>
      <c r="I948" t="s">
        <v>36</v>
      </c>
      <c r="J948">
        <v>4</v>
      </c>
      <c r="K948" t="s">
        <v>4</v>
      </c>
      <c r="L948" t="s">
        <v>98</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5">
      <c r="A949" t="s">
        <v>1030</v>
      </c>
      <c r="B949" t="s">
        <v>15</v>
      </c>
      <c r="C949">
        <v>3</v>
      </c>
      <c r="D949">
        <v>76.5</v>
      </c>
      <c r="E949">
        <v>229.5</v>
      </c>
      <c r="F949" s="1">
        <v>45695</v>
      </c>
      <c r="G949" s="1">
        <v>45696</v>
      </c>
      <c r="H949" t="s">
        <v>12</v>
      </c>
      <c r="I949" t="s">
        <v>3</v>
      </c>
      <c r="J949">
        <v>3</v>
      </c>
      <c r="K949" t="s">
        <v>4</v>
      </c>
      <c r="L949" t="s">
        <v>100</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5">
      <c r="A950" t="s">
        <v>1031</v>
      </c>
      <c r="B950" t="s">
        <v>31</v>
      </c>
      <c r="C950">
        <v>3</v>
      </c>
      <c r="D950">
        <v>42.6</v>
      </c>
      <c r="E950">
        <v>127.80000000000001</v>
      </c>
      <c r="F950" s="1">
        <v>45695</v>
      </c>
      <c r="G950" s="1">
        <v>45701</v>
      </c>
      <c r="H950" t="s">
        <v>12</v>
      </c>
      <c r="I950" t="s">
        <v>25</v>
      </c>
      <c r="J950">
        <v>5</v>
      </c>
      <c r="K950" t="s">
        <v>4</v>
      </c>
      <c r="L950" t="s">
        <v>13</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5">
      <c r="A951" t="s">
        <v>1032</v>
      </c>
      <c r="B951" t="s">
        <v>24</v>
      </c>
      <c r="C951">
        <v>3</v>
      </c>
      <c r="D951">
        <v>44.1</v>
      </c>
      <c r="E951">
        <v>132.30000000000001</v>
      </c>
      <c r="F951" s="1">
        <v>45695</v>
      </c>
      <c r="G951" s="1">
        <v>45697</v>
      </c>
      <c r="H951" t="s">
        <v>12</v>
      </c>
      <c r="I951" t="s">
        <v>20</v>
      </c>
      <c r="J951">
        <v>3</v>
      </c>
      <c r="K951" t="s">
        <v>4</v>
      </c>
      <c r="L951" t="s">
        <v>132</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5">
      <c r="A952" t="s">
        <v>1033</v>
      </c>
      <c r="B952" t="s">
        <v>29</v>
      </c>
      <c r="C952">
        <v>2</v>
      </c>
      <c r="D952">
        <v>40.9</v>
      </c>
      <c r="E952">
        <v>81.8</v>
      </c>
      <c r="F952" s="1">
        <v>45695</v>
      </c>
      <c r="G952" s="1">
        <v>45699</v>
      </c>
      <c r="H952" t="s">
        <v>8</v>
      </c>
      <c r="I952" t="s">
        <v>3</v>
      </c>
      <c r="J952">
        <v>4</v>
      </c>
      <c r="K952" t="s">
        <v>4</v>
      </c>
      <c r="L952" t="s">
        <v>18</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5">
      <c r="A953" t="s">
        <v>1034</v>
      </c>
      <c r="B953" t="s">
        <v>31</v>
      </c>
      <c r="C953">
        <v>3</v>
      </c>
      <c r="D953">
        <v>49.1</v>
      </c>
      <c r="E953">
        <v>147.30000000000001</v>
      </c>
      <c r="F953" s="1">
        <v>45695</v>
      </c>
      <c r="G953" s="1">
        <v>45699</v>
      </c>
      <c r="H953" t="s">
        <v>12</v>
      </c>
      <c r="I953" t="s">
        <v>36</v>
      </c>
      <c r="J953">
        <v>3</v>
      </c>
      <c r="K953" t="s">
        <v>4</v>
      </c>
      <c r="L953" t="s">
        <v>18</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5">
      <c r="A954" t="s">
        <v>1035</v>
      </c>
      <c r="B954" t="s">
        <v>131</v>
      </c>
      <c r="C954">
        <v>1</v>
      </c>
      <c r="D954">
        <v>85.3</v>
      </c>
      <c r="E954">
        <v>85.3</v>
      </c>
      <c r="F954" s="1">
        <v>45695</v>
      </c>
      <c r="G954" s="1">
        <v>45699</v>
      </c>
      <c r="H954" t="s">
        <v>8</v>
      </c>
      <c r="I954" t="s">
        <v>20</v>
      </c>
      <c r="J954">
        <v>3</v>
      </c>
      <c r="K954" t="s">
        <v>4</v>
      </c>
      <c r="L954" t="s">
        <v>18</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5">
      <c r="A955" t="s">
        <v>1036</v>
      </c>
      <c r="B955" t="s">
        <v>24</v>
      </c>
      <c r="C955">
        <v>4</v>
      </c>
      <c r="D955">
        <v>43.1</v>
      </c>
      <c r="E955">
        <v>172.4</v>
      </c>
      <c r="F955" s="1">
        <v>45696</v>
      </c>
      <c r="G955" s="1">
        <v>45699</v>
      </c>
      <c r="H955" t="s">
        <v>8</v>
      </c>
      <c r="I955" t="s">
        <v>3</v>
      </c>
      <c r="J955">
        <v>4</v>
      </c>
      <c r="K955" t="s">
        <v>4</v>
      </c>
      <c r="L955" t="s">
        <v>18</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5">
      <c r="A956" t="s">
        <v>1037</v>
      </c>
      <c r="B956" t="s">
        <v>17</v>
      </c>
      <c r="C956">
        <v>4</v>
      </c>
      <c r="D956">
        <v>46.2</v>
      </c>
      <c r="E956">
        <v>184.8</v>
      </c>
      <c r="F956" s="1">
        <v>45696</v>
      </c>
      <c r="G956" s="1">
        <v>45697</v>
      </c>
      <c r="H956" t="s">
        <v>8</v>
      </c>
      <c r="I956" t="s">
        <v>25</v>
      </c>
      <c r="J956">
        <v>4</v>
      </c>
      <c r="K956" t="s">
        <v>4</v>
      </c>
      <c r="L956" t="s">
        <v>18</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5">
      <c r="A957" t="s">
        <v>1038</v>
      </c>
      <c r="B957" t="s">
        <v>7</v>
      </c>
      <c r="C957">
        <v>1</v>
      </c>
      <c r="D957">
        <v>74.400000000000006</v>
      </c>
      <c r="E957">
        <v>74.400000000000006</v>
      </c>
      <c r="F957" s="1">
        <v>45696</v>
      </c>
      <c r="G957" s="1">
        <v>45698</v>
      </c>
      <c r="H957" t="s">
        <v>8</v>
      </c>
      <c r="I957" t="s">
        <v>55</v>
      </c>
      <c r="J957">
        <v>5</v>
      </c>
      <c r="K957" t="s">
        <v>4</v>
      </c>
      <c r="L957" t="s">
        <v>18</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5">
      <c r="A958" t="s">
        <v>1039</v>
      </c>
      <c r="B958" t="s">
        <v>120</v>
      </c>
      <c r="C958">
        <v>2</v>
      </c>
      <c r="D958">
        <v>51.2</v>
      </c>
      <c r="E958">
        <v>102.4</v>
      </c>
      <c r="F958" s="1">
        <v>45696</v>
      </c>
      <c r="G958" s="1">
        <v>45697</v>
      </c>
      <c r="H958" t="s">
        <v>8</v>
      </c>
      <c r="I958" t="s">
        <v>20</v>
      </c>
      <c r="J958">
        <v>4</v>
      </c>
      <c r="K958" t="s">
        <v>4</v>
      </c>
      <c r="L958" t="s">
        <v>18</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5">
      <c r="A959" t="s">
        <v>1040</v>
      </c>
      <c r="B959" t="s">
        <v>66</v>
      </c>
      <c r="C959">
        <v>4</v>
      </c>
      <c r="D959">
        <v>11.8</v>
      </c>
      <c r="E959">
        <v>47.2</v>
      </c>
      <c r="F959" s="1">
        <v>45696</v>
      </c>
      <c r="G959" s="1">
        <v>45696</v>
      </c>
      <c r="H959" t="s">
        <v>8</v>
      </c>
      <c r="I959" t="s">
        <v>25</v>
      </c>
      <c r="J959">
        <v>4</v>
      </c>
      <c r="K959" t="s">
        <v>4</v>
      </c>
      <c r="L959" t="s">
        <v>18</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5">
      <c r="A960" t="s">
        <v>1041</v>
      </c>
      <c r="B960" t="s">
        <v>39</v>
      </c>
      <c r="C960">
        <v>27</v>
      </c>
      <c r="D960">
        <v>40.799999999999997</v>
      </c>
      <c r="E960">
        <v>1101.5999999999999</v>
      </c>
      <c r="F960" s="1">
        <v>45696</v>
      </c>
      <c r="G960" s="1">
        <v>45697</v>
      </c>
      <c r="H960" t="s">
        <v>12</v>
      </c>
      <c r="I960" t="s">
        <v>36</v>
      </c>
      <c r="J960">
        <v>5</v>
      </c>
      <c r="K960" t="s">
        <v>4</v>
      </c>
      <c r="L960" t="s">
        <v>18</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5">
      <c r="A961" t="s">
        <v>1042</v>
      </c>
      <c r="B961" t="s">
        <v>29</v>
      </c>
      <c r="C961">
        <v>1</v>
      </c>
      <c r="D961">
        <v>24.7</v>
      </c>
      <c r="E961">
        <v>24.7</v>
      </c>
      <c r="F961" s="1">
        <v>45696</v>
      </c>
      <c r="G961" s="1">
        <v>45698</v>
      </c>
      <c r="H961" t="s">
        <v>12</v>
      </c>
      <c r="I961" t="s">
        <v>25</v>
      </c>
      <c r="J961">
        <v>3</v>
      </c>
      <c r="K961" t="s">
        <v>4</v>
      </c>
      <c r="L961" t="s">
        <v>18</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5">
      <c r="A962" t="s">
        <v>1043</v>
      </c>
      <c r="B962" t="s">
        <v>29</v>
      </c>
      <c r="C962">
        <v>7</v>
      </c>
      <c r="D962">
        <v>22.1</v>
      </c>
      <c r="E962">
        <v>154.70000000000002</v>
      </c>
      <c r="F962" s="1">
        <v>45696</v>
      </c>
      <c r="G962" s="1">
        <v>45696</v>
      </c>
      <c r="H962" t="s">
        <v>12</v>
      </c>
      <c r="I962" t="s">
        <v>25</v>
      </c>
      <c r="J962">
        <v>2</v>
      </c>
      <c r="K962" t="s">
        <v>4</v>
      </c>
      <c r="L962" t="s">
        <v>18</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5">
      <c r="A963" t="s">
        <v>1044</v>
      </c>
      <c r="B963" t="s">
        <v>29</v>
      </c>
      <c r="C963">
        <v>1</v>
      </c>
      <c r="D963">
        <v>18.100000000000001</v>
      </c>
      <c r="E963">
        <v>18.100000000000001</v>
      </c>
      <c r="F963" s="1">
        <v>45696</v>
      </c>
      <c r="G963" s="1">
        <v>45700</v>
      </c>
      <c r="H963" t="s">
        <v>8</v>
      </c>
      <c r="I963" t="s">
        <v>36</v>
      </c>
      <c r="J963">
        <v>5</v>
      </c>
      <c r="K963" t="s">
        <v>4</v>
      </c>
      <c r="L963" t="s">
        <v>18</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5">
      <c r="A964" t="s">
        <v>1045</v>
      </c>
      <c r="B964" t="s">
        <v>120</v>
      </c>
      <c r="C964">
        <v>2</v>
      </c>
      <c r="D964">
        <v>58.8</v>
      </c>
      <c r="E964">
        <v>117.6</v>
      </c>
      <c r="F964" s="1">
        <v>45696</v>
      </c>
      <c r="G964" s="1">
        <v>45699</v>
      </c>
      <c r="H964" t="s">
        <v>12</v>
      </c>
      <c r="I964" t="s">
        <v>3</v>
      </c>
      <c r="J964">
        <v>4</v>
      </c>
      <c r="K964" t="s">
        <v>4</v>
      </c>
      <c r="L964" t="s">
        <v>173</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5">
      <c r="A965" t="s">
        <v>1046</v>
      </c>
      <c r="B965" t="s">
        <v>131</v>
      </c>
      <c r="C965">
        <v>2</v>
      </c>
      <c r="D965">
        <v>30.8</v>
      </c>
      <c r="E965">
        <v>61.6</v>
      </c>
      <c r="F965" s="1">
        <v>45696</v>
      </c>
      <c r="G965" s="1">
        <v>45697</v>
      </c>
      <c r="H965" t="s">
        <v>12</v>
      </c>
      <c r="I965" t="s">
        <v>3</v>
      </c>
      <c r="J965">
        <v>4</v>
      </c>
      <c r="K965" t="s">
        <v>4</v>
      </c>
      <c r="L965" t="s">
        <v>40</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5">
      <c r="A966" t="s">
        <v>1047</v>
      </c>
      <c r="B966" t="s">
        <v>1</v>
      </c>
      <c r="C966">
        <v>2</v>
      </c>
      <c r="D966">
        <v>12</v>
      </c>
      <c r="E966">
        <v>24</v>
      </c>
      <c r="F966" s="1">
        <v>45696</v>
      </c>
      <c r="G966" s="1">
        <v>45700</v>
      </c>
      <c r="H966" t="s">
        <v>12</v>
      </c>
      <c r="I966" t="s">
        <v>3</v>
      </c>
      <c r="J966">
        <v>4</v>
      </c>
      <c r="K966" t="s">
        <v>4</v>
      </c>
      <c r="L966" t="s">
        <v>40</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5">
      <c r="A967" t="s">
        <v>1048</v>
      </c>
      <c r="B967" t="s">
        <v>1</v>
      </c>
      <c r="C967">
        <v>4</v>
      </c>
      <c r="D967">
        <v>13.6</v>
      </c>
      <c r="E967">
        <v>54.4</v>
      </c>
      <c r="F967" s="1">
        <v>45696</v>
      </c>
      <c r="G967" s="1">
        <v>45699</v>
      </c>
      <c r="H967" t="s">
        <v>8</v>
      </c>
      <c r="I967" t="s">
        <v>25</v>
      </c>
      <c r="J967">
        <v>4</v>
      </c>
      <c r="K967" t="s">
        <v>4</v>
      </c>
      <c r="L967" t="s">
        <v>40</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5">
      <c r="A968" t="s">
        <v>1049</v>
      </c>
      <c r="B968" t="s">
        <v>1</v>
      </c>
      <c r="C968">
        <v>1</v>
      </c>
      <c r="D968">
        <v>17.899999999999999</v>
      </c>
      <c r="E968">
        <v>17.899999999999999</v>
      </c>
      <c r="F968" s="1">
        <v>45696</v>
      </c>
      <c r="G968" s="1">
        <v>45697</v>
      </c>
      <c r="H968" t="s">
        <v>8</v>
      </c>
      <c r="I968" t="s">
        <v>36</v>
      </c>
      <c r="J968">
        <v>4</v>
      </c>
      <c r="K968" t="s">
        <v>4</v>
      </c>
      <c r="L968" t="s">
        <v>40</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5">
      <c r="A969" t="s">
        <v>1050</v>
      </c>
      <c r="B969" t="s">
        <v>31</v>
      </c>
      <c r="C969">
        <v>2</v>
      </c>
      <c r="D969">
        <v>38.6</v>
      </c>
      <c r="E969">
        <v>77.2</v>
      </c>
      <c r="F969" s="1">
        <v>45696</v>
      </c>
      <c r="G969" s="1">
        <v>45700</v>
      </c>
      <c r="H969" t="s">
        <v>12</v>
      </c>
      <c r="I969" t="s">
        <v>55</v>
      </c>
      <c r="J969">
        <v>4</v>
      </c>
      <c r="K969" t="s">
        <v>4</v>
      </c>
      <c r="L969" t="s">
        <v>44</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5">
      <c r="A970" t="s">
        <v>1051</v>
      </c>
      <c r="B970" t="s">
        <v>22</v>
      </c>
      <c r="C970">
        <v>5</v>
      </c>
      <c r="D970">
        <v>32.700000000000003</v>
      </c>
      <c r="E970">
        <v>163.5</v>
      </c>
      <c r="F970" s="1">
        <v>45696</v>
      </c>
      <c r="G970" s="1">
        <v>45697</v>
      </c>
      <c r="H970" t="s">
        <v>8</v>
      </c>
      <c r="I970" t="s">
        <v>25</v>
      </c>
      <c r="J970">
        <v>5</v>
      </c>
      <c r="K970" t="s">
        <v>4</v>
      </c>
      <c r="L970" t="s">
        <v>47</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5">
      <c r="A971" t="s">
        <v>1052</v>
      </c>
      <c r="B971" t="s">
        <v>15</v>
      </c>
      <c r="C971">
        <v>2</v>
      </c>
      <c r="D971">
        <v>111.4</v>
      </c>
      <c r="E971">
        <v>222.8</v>
      </c>
      <c r="F971" s="1">
        <v>45696</v>
      </c>
      <c r="G971" s="1">
        <v>45697</v>
      </c>
      <c r="H971" t="s">
        <v>12</v>
      </c>
      <c r="I971" t="s">
        <v>20</v>
      </c>
      <c r="J971">
        <v>4</v>
      </c>
      <c r="K971" t="s">
        <v>4</v>
      </c>
      <c r="L971" t="s">
        <v>47</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5">
      <c r="A972" t="s">
        <v>1053</v>
      </c>
      <c r="B972" t="s">
        <v>11</v>
      </c>
      <c r="C972">
        <v>6</v>
      </c>
      <c r="D972">
        <v>80.3</v>
      </c>
      <c r="E972">
        <v>481.79999999999995</v>
      </c>
      <c r="F972" s="1">
        <v>45696</v>
      </c>
      <c r="G972" s="1">
        <v>45698</v>
      </c>
      <c r="H972" t="s">
        <v>12</v>
      </c>
      <c r="I972" t="s">
        <v>20</v>
      </c>
      <c r="J972">
        <v>4</v>
      </c>
      <c r="K972" t="s">
        <v>4</v>
      </c>
      <c r="L972" t="s">
        <v>47</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5">
      <c r="A973" t="s">
        <v>1054</v>
      </c>
      <c r="B973" t="s">
        <v>24</v>
      </c>
      <c r="C973">
        <v>2</v>
      </c>
      <c r="D973">
        <v>58.9</v>
      </c>
      <c r="E973">
        <v>117.8</v>
      </c>
      <c r="F973" s="1">
        <v>45696</v>
      </c>
      <c r="G973" s="1">
        <v>45697</v>
      </c>
      <c r="H973" t="s">
        <v>8</v>
      </c>
      <c r="I973" t="s">
        <v>20</v>
      </c>
      <c r="J973">
        <v>4</v>
      </c>
      <c r="K973" t="s">
        <v>4</v>
      </c>
      <c r="L973" t="s">
        <v>47</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5">
      <c r="A974" t="s">
        <v>1055</v>
      </c>
      <c r="B974" t="s">
        <v>24</v>
      </c>
      <c r="C974">
        <v>3</v>
      </c>
      <c r="D974">
        <v>51.9</v>
      </c>
      <c r="E974">
        <v>155.69999999999999</v>
      </c>
      <c r="F974" s="1">
        <v>45696</v>
      </c>
      <c r="G974" s="1">
        <v>45698</v>
      </c>
      <c r="H974" t="s">
        <v>12</v>
      </c>
      <c r="I974" t="s">
        <v>20</v>
      </c>
      <c r="J974">
        <v>2</v>
      </c>
      <c r="K974" t="s">
        <v>4</v>
      </c>
      <c r="L974" t="s">
        <v>47</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5">
      <c r="A975" t="s">
        <v>1056</v>
      </c>
      <c r="B975" t="s">
        <v>11</v>
      </c>
      <c r="C975">
        <v>3</v>
      </c>
      <c r="D975">
        <v>50.3</v>
      </c>
      <c r="E975">
        <v>150.89999999999998</v>
      </c>
      <c r="F975" s="1">
        <v>45696</v>
      </c>
      <c r="G975" s="1">
        <v>45697</v>
      </c>
      <c r="H975" t="s">
        <v>8</v>
      </c>
      <c r="I975" t="s">
        <v>25</v>
      </c>
      <c r="J975">
        <v>4</v>
      </c>
      <c r="K975" t="s">
        <v>4</v>
      </c>
      <c r="L975" t="s">
        <v>88</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5">
      <c r="A976" t="s">
        <v>1057</v>
      </c>
      <c r="B976" t="s">
        <v>52</v>
      </c>
      <c r="C976">
        <v>6</v>
      </c>
      <c r="D976">
        <v>45</v>
      </c>
      <c r="E976">
        <v>270</v>
      </c>
      <c r="F976" s="1">
        <v>45696</v>
      </c>
      <c r="G976" s="1">
        <v>45702</v>
      </c>
      <c r="H976" t="s">
        <v>12</v>
      </c>
      <c r="I976" t="s">
        <v>36</v>
      </c>
      <c r="J976">
        <v>4</v>
      </c>
      <c r="K976" t="s">
        <v>4</v>
      </c>
      <c r="L976" t="s">
        <v>57</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5">
      <c r="A977" t="s">
        <v>1058</v>
      </c>
      <c r="B977" t="s">
        <v>39</v>
      </c>
      <c r="C977">
        <v>6</v>
      </c>
      <c r="D977">
        <v>44.7</v>
      </c>
      <c r="E977">
        <v>268.20000000000005</v>
      </c>
      <c r="F977" s="1">
        <v>45696</v>
      </c>
      <c r="G977" s="1">
        <v>45698</v>
      </c>
      <c r="H977" t="s">
        <v>12</v>
      </c>
      <c r="I977" t="s">
        <v>25</v>
      </c>
      <c r="J977">
        <v>4</v>
      </c>
      <c r="K977" t="s">
        <v>4</v>
      </c>
      <c r="L977" t="s">
        <v>62</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5">
      <c r="A978" t="s">
        <v>1059</v>
      </c>
      <c r="B978" t="s">
        <v>131</v>
      </c>
      <c r="C978">
        <v>15</v>
      </c>
      <c r="D978">
        <v>33</v>
      </c>
      <c r="E978">
        <v>495</v>
      </c>
      <c r="F978" s="1">
        <v>45696</v>
      </c>
      <c r="G978" s="1">
        <v>45697</v>
      </c>
      <c r="H978" t="s">
        <v>12</v>
      </c>
      <c r="I978" t="s">
        <v>25</v>
      </c>
      <c r="J978">
        <v>4</v>
      </c>
      <c r="K978" t="s">
        <v>4</v>
      </c>
      <c r="L978" t="s">
        <v>62</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5">
      <c r="A979" t="s">
        <v>1060</v>
      </c>
      <c r="B979" t="s">
        <v>7</v>
      </c>
      <c r="C979">
        <v>5</v>
      </c>
      <c r="D979">
        <v>44.9</v>
      </c>
      <c r="E979">
        <v>224.5</v>
      </c>
      <c r="F979" s="1">
        <v>45696</v>
      </c>
      <c r="G979" s="1">
        <v>45699</v>
      </c>
      <c r="H979" t="s">
        <v>12</v>
      </c>
      <c r="I979" t="s">
        <v>25</v>
      </c>
      <c r="J979">
        <v>5</v>
      </c>
      <c r="K979" t="s">
        <v>4</v>
      </c>
      <c r="L979" t="s">
        <v>93</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5">
      <c r="A980" t="s">
        <v>1061</v>
      </c>
      <c r="B980" t="s">
        <v>39</v>
      </c>
      <c r="C980">
        <v>2</v>
      </c>
      <c r="D980">
        <v>34.6</v>
      </c>
      <c r="E980">
        <v>69.2</v>
      </c>
      <c r="F980" s="1">
        <v>45696</v>
      </c>
      <c r="G980" s="1">
        <v>45700</v>
      </c>
      <c r="H980" t="s">
        <v>12</v>
      </c>
      <c r="I980" t="s">
        <v>3</v>
      </c>
      <c r="J980">
        <v>3</v>
      </c>
      <c r="K980" t="s">
        <v>4</v>
      </c>
      <c r="L980" t="s">
        <v>95</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5">
      <c r="A981" t="s">
        <v>1062</v>
      </c>
      <c r="B981" t="s">
        <v>27</v>
      </c>
      <c r="C981">
        <v>7</v>
      </c>
      <c r="D981">
        <v>47.1</v>
      </c>
      <c r="E981">
        <v>329.7</v>
      </c>
      <c r="F981" s="1">
        <v>45696</v>
      </c>
      <c r="G981" s="1">
        <v>45701</v>
      </c>
      <c r="H981" t="s">
        <v>12</v>
      </c>
      <c r="I981" t="s">
        <v>3</v>
      </c>
      <c r="J981">
        <v>4</v>
      </c>
      <c r="K981" t="s">
        <v>4</v>
      </c>
      <c r="L981" t="s">
        <v>67</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5">
      <c r="A982" t="s">
        <v>1063</v>
      </c>
      <c r="B982" t="s">
        <v>17</v>
      </c>
      <c r="C982">
        <v>5</v>
      </c>
      <c r="D982">
        <v>26.1</v>
      </c>
      <c r="E982">
        <v>130.5</v>
      </c>
      <c r="F982" s="1">
        <v>45696</v>
      </c>
      <c r="G982" s="1">
        <v>45701</v>
      </c>
      <c r="H982" t="s">
        <v>8</v>
      </c>
      <c r="I982" t="s">
        <v>3</v>
      </c>
      <c r="J982">
        <v>5</v>
      </c>
      <c r="K982" t="s">
        <v>4</v>
      </c>
      <c r="L982" t="s">
        <v>100</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5">
      <c r="A983" t="s">
        <v>1064</v>
      </c>
      <c r="B983" t="s">
        <v>54</v>
      </c>
      <c r="C983">
        <v>5</v>
      </c>
      <c r="D983">
        <v>66.8</v>
      </c>
      <c r="E983">
        <v>334</v>
      </c>
      <c r="F983" s="1">
        <v>45696</v>
      </c>
      <c r="G983" s="1">
        <v>45699</v>
      </c>
      <c r="H983" t="s">
        <v>12</v>
      </c>
      <c r="I983" t="s">
        <v>3</v>
      </c>
      <c r="J983">
        <v>4</v>
      </c>
      <c r="K983" t="s">
        <v>4</v>
      </c>
      <c r="L983" t="s">
        <v>100</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5">
      <c r="A984" t="s">
        <v>1065</v>
      </c>
      <c r="B984" t="s">
        <v>11</v>
      </c>
      <c r="C984">
        <v>2</v>
      </c>
      <c r="D984">
        <v>167.9</v>
      </c>
      <c r="E984">
        <v>335.8</v>
      </c>
      <c r="F984" s="1">
        <v>45696</v>
      </c>
      <c r="G984" s="1">
        <v>45697</v>
      </c>
      <c r="H984" t="s">
        <v>12</v>
      </c>
      <c r="I984" t="s">
        <v>36</v>
      </c>
      <c r="J984">
        <v>5</v>
      </c>
      <c r="K984" t="s">
        <v>4</v>
      </c>
      <c r="L984" t="s">
        <v>100</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5">
      <c r="A985" t="s">
        <v>1066</v>
      </c>
      <c r="B985" t="s">
        <v>39</v>
      </c>
      <c r="C985">
        <v>9</v>
      </c>
      <c r="D985">
        <v>34.6</v>
      </c>
      <c r="E985">
        <v>311.40000000000003</v>
      </c>
      <c r="F985" s="1">
        <v>45696</v>
      </c>
      <c r="G985" s="1">
        <v>45697</v>
      </c>
      <c r="H985" t="s">
        <v>12</v>
      </c>
      <c r="I985" t="s">
        <v>25</v>
      </c>
      <c r="J985">
        <v>3</v>
      </c>
      <c r="K985" t="s">
        <v>4</v>
      </c>
      <c r="L985" t="s">
        <v>100</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5">
      <c r="A986" t="s">
        <v>1067</v>
      </c>
      <c r="B986" t="s">
        <v>29</v>
      </c>
      <c r="C986">
        <v>3</v>
      </c>
      <c r="D986">
        <v>35.1</v>
      </c>
      <c r="E986">
        <v>105.30000000000001</v>
      </c>
      <c r="F986" s="1">
        <v>45697</v>
      </c>
      <c r="G986" s="1">
        <v>45701</v>
      </c>
      <c r="H986" t="s">
        <v>8</v>
      </c>
      <c r="I986" t="s">
        <v>55</v>
      </c>
      <c r="J986">
        <v>5</v>
      </c>
      <c r="K986" t="s">
        <v>4</v>
      </c>
      <c r="L986" t="s">
        <v>9</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5">
      <c r="A987" t="s">
        <v>1068</v>
      </c>
      <c r="B987" t="s">
        <v>24</v>
      </c>
      <c r="C987">
        <v>4</v>
      </c>
      <c r="D987">
        <v>104.5</v>
      </c>
      <c r="E987">
        <v>418</v>
      </c>
      <c r="F987" s="1">
        <v>45697</v>
      </c>
      <c r="G987" s="1">
        <v>45698</v>
      </c>
      <c r="H987" t="s">
        <v>8</v>
      </c>
      <c r="I987" t="s">
        <v>20</v>
      </c>
      <c r="J987">
        <v>3</v>
      </c>
      <c r="K987" t="s">
        <v>4</v>
      </c>
      <c r="L987" t="s">
        <v>9</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5">
      <c r="A988" t="s">
        <v>1069</v>
      </c>
      <c r="B988" t="s">
        <v>29</v>
      </c>
      <c r="C988">
        <v>1</v>
      </c>
      <c r="D988">
        <v>37.9</v>
      </c>
      <c r="E988">
        <v>37.9</v>
      </c>
      <c r="F988" s="1">
        <v>45697</v>
      </c>
      <c r="G988" s="1">
        <v>45699</v>
      </c>
      <c r="H988" t="s">
        <v>2</v>
      </c>
      <c r="I988" t="s">
        <v>20</v>
      </c>
      <c r="J988">
        <v>5</v>
      </c>
      <c r="K988" t="s">
        <v>4</v>
      </c>
      <c r="L988" t="s">
        <v>13</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5">
      <c r="A989" t="s">
        <v>1070</v>
      </c>
      <c r="B989" t="s">
        <v>17</v>
      </c>
      <c r="C989">
        <v>3</v>
      </c>
      <c r="D989">
        <v>25.5</v>
      </c>
      <c r="E989">
        <v>76.5</v>
      </c>
      <c r="F989" s="1">
        <v>45697</v>
      </c>
      <c r="G989" s="1">
        <v>45700</v>
      </c>
      <c r="H989" t="s">
        <v>8</v>
      </c>
      <c r="I989" t="s">
        <v>36</v>
      </c>
      <c r="J989">
        <v>4</v>
      </c>
      <c r="K989" t="s">
        <v>4</v>
      </c>
      <c r="L989" t="s">
        <v>13</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5">
      <c r="A990" t="s">
        <v>1071</v>
      </c>
      <c r="B990" t="s">
        <v>1</v>
      </c>
      <c r="C990">
        <v>3</v>
      </c>
      <c r="D990">
        <v>32</v>
      </c>
      <c r="E990">
        <v>96</v>
      </c>
      <c r="F990" s="1">
        <v>45697</v>
      </c>
      <c r="G990" s="1">
        <v>45701</v>
      </c>
      <c r="H990" t="s">
        <v>12</v>
      </c>
      <c r="I990" t="s">
        <v>20</v>
      </c>
      <c r="J990">
        <v>4</v>
      </c>
      <c r="K990" t="s">
        <v>4</v>
      </c>
      <c r="L990" t="s">
        <v>132</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5">
      <c r="A991" t="s">
        <v>1072</v>
      </c>
      <c r="B991" t="s">
        <v>7</v>
      </c>
      <c r="C991">
        <v>1</v>
      </c>
      <c r="D991">
        <v>47.1</v>
      </c>
      <c r="E991">
        <v>47.1</v>
      </c>
      <c r="F991" s="1">
        <v>45697</v>
      </c>
      <c r="G991" s="1">
        <v>45698</v>
      </c>
      <c r="H991" t="s">
        <v>12</v>
      </c>
      <c r="I991" t="s">
        <v>3</v>
      </c>
      <c r="J991">
        <v>4</v>
      </c>
      <c r="K991" t="s">
        <v>4</v>
      </c>
      <c r="L991" t="s">
        <v>319</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5">
      <c r="A992" t="s">
        <v>1073</v>
      </c>
      <c r="B992" t="s">
        <v>24</v>
      </c>
      <c r="C992">
        <v>2</v>
      </c>
      <c r="D992">
        <v>50.6</v>
      </c>
      <c r="E992">
        <v>101.2</v>
      </c>
      <c r="F992" s="1">
        <v>45697</v>
      </c>
      <c r="G992" s="1">
        <v>45703</v>
      </c>
      <c r="H992" t="s">
        <v>2</v>
      </c>
      <c r="I992" t="s">
        <v>3</v>
      </c>
      <c r="J992">
        <v>4</v>
      </c>
      <c r="K992" t="s">
        <v>4</v>
      </c>
      <c r="L992" t="s">
        <v>18</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5">
      <c r="A993" t="s">
        <v>1074</v>
      </c>
      <c r="B993" t="s">
        <v>24</v>
      </c>
      <c r="C993">
        <v>5</v>
      </c>
      <c r="D993">
        <v>81.7</v>
      </c>
      <c r="E993">
        <v>408.5</v>
      </c>
      <c r="F993" s="1">
        <v>45697</v>
      </c>
      <c r="G993" s="1">
        <v>45698</v>
      </c>
      <c r="H993" t="s">
        <v>12</v>
      </c>
      <c r="I993" t="s">
        <v>20</v>
      </c>
      <c r="J993">
        <v>5</v>
      </c>
      <c r="K993" t="s">
        <v>4</v>
      </c>
      <c r="L993" t="s">
        <v>18</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5">
      <c r="A994" t="s">
        <v>1075</v>
      </c>
      <c r="B994" t="s">
        <v>22</v>
      </c>
      <c r="C994">
        <v>2</v>
      </c>
      <c r="D994">
        <v>50.7</v>
      </c>
      <c r="E994">
        <v>101.4</v>
      </c>
      <c r="F994" s="1">
        <v>45697</v>
      </c>
      <c r="G994" s="1">
        <v>45698</v>
      </c>
      <c r="H994" t="s">
        <v>74</v>
      </c>
      <c r="I994" t="s">
        <v>25</v>
      </c>
      <c r="J994">
        <v>5</v>
      </c>
      <c r="K994" t="s">
        <v>4</v>
      </c>
      <c r="L994" t="s">
        <v>18</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5">
      <c r="A995" t="s">
        <v>1076</v>
      </c>
      <c r="B995" t="s">
        <v>11</v>
      </c>
      <c r="C995">
        <v>19</v>
      </c>
      <c r="D995">
        <v>67.3</v>
      </c>
      <c r="E995">
        <v>1278.7</v>
      </c>
      <c r="F995" s="1">
        <v>45697</v>
      </c>
      <c r="G995" s="1">
        <v>45701</v>
      </c>
      <c r="H995" t="s">
        <v>12</v>
      </c>
      <c r="I995" t="s">
        <v>25</v>
      </c>
      <c r="J995">
        <v>4</v>
      </c>
      <c r="K995" t="s">
        <v>4</v>
      </c>
      <c r="L995" t="s">
        <v>18</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5">
      <c r="A996" t="s">
        <v>1077</v>
      </c>
      <c r="B996" t="s">
        <v>11</v>
      </c>
      <c r="C996">
        <v>4</v>
      </c>
      <c r="D996">
        <v>64.8</v>
      </c>
      <c r="E996">
        <v>259.2</v>
      </c>
      <c r="F996" s="1">
        <v>45697</v>
      </c>
      <c r="G996" s="1">
        <v>45700</v>
      </c>
      <c r="H996" t="s">
        <v>12</v>
      </c>
      <c r="I996" t="s">
        <v>36</v>
      </c>
      <c r="J996">
        <v>4</v>
      </c>
      <c r="K996" t="s">
        <v>4</v>
      </c>
      <c r="L996" t="s">
        <v>18</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5">
      <c r="A997" t="s">
        <v>1078</v>
      </c>
      <c r="B997" t="s">
        <v>22</v>
      </c>
      <c r="C997">
        <v>22</v>
      </c>
      <c r="D997">
        <v>61.3</v>
      </c>
      <c r="E997">
        <v>1348.6</v>
      </c>
      <c r="F997" s="1">
        <v>45697</v>
      </c>
      <c r="G997" s="1">
        <v>45698</v>
      </c>
      <c r="H997" t="s">
        <v>12</v>
      </c>
      <c r="I997" t="s">
        <v>3</v>
      </c>
      <c r="J997">
        <v>5</v>
      </c>
      <c r="K997" t="s">
        <v>4</v>
      </c>
      <c r="L997" t="s">
        <v>18</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5">
      <c r="A998" t="s">
        <v>1079</v>
      </c>
      <c r="B998" t="s">
        <v>66</v>
      </c>
      <c r="C998">
        <v>1</v>
      </c>
      <c r="D998">
        <v>32.9</v>
      </c>
      <c r="E998">
        <v>32.9</v>
      </c>
      <c r="F998" s="1">
        <v>45697</v>
      </c>
      <c r="G998" s="1">
        <v>45700</v>
      </c>
      <c r="H998" t="s">
        <v>12</v>
      </c>
      <c r="I998" t="s">
        <v>55</v>
      </c>
      <c r="J998">
        <v>4</v>
      </c>
      <c r="K998" t="s">
        <v>4</v>
      </c>
      <c r="L998" t="s">
        <v>18</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5">
      <c r="A999" t="s">
        <v>1080</v>
      </c>
      <c r="B999" t="s">
        <v>24</v>
      </c>
      <c r="C999">
        <v>2</v>
      </c>
      <c r="D999">
        <v>100.8</v>
      </c>
      <c r="E999">
        <v>201.6</v>
      </c>
      <c r="F999" s="1">
        <v>45697</v>
      </c>
      <c r="G999" s="1">
        <v>45700</v>
      </c>
      <c r="H999" t="s">
        <v>12</v>
      </c>
      <c r="I999" t="s">
        <v>3</v>
      </c>
      <c r="J999">
        <v>4</v>
      </c>
      <c r="K999" t="s">
        <v>4</v>
      </c>
      <c r="L999" t="s">
        <v>18</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5">
      <c r="A1000" t="s">
        <v>1081</v>
      </c>
      <c r="B1000" t="s">
        <v>29</v>
      </c>
      <c r="C1000">
        <v>4</v>
      </c>
      <c r="D1000">
        <v>25.1</v>
      </c>
      <c r="E1000">
        <v>100.4</v>
      </c>
      <c r="F1000" s="1">
        <v>45697</v>
      </c>
      <c r="G1000" s="1">
        <v>45699</v>
      </c>
      <c r="H1000" t="s">
        <v>12</v>
      </c>
      <c r="I1000" t="s">
        <v>20</v>
      </c>
      <c r="J1000">
        <v>4</v>
      </c>
      <c r="K1000" t="s">
        <v>4</v>
      </c>
      <c r="L1000" t="s">
        <v>18</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5">
      <c r="A1001" t="s">
        <v>1082</v>
      </c>
      <c r="B1001" t="s">
        <v>120</v>
      </c>
      <c r="C1001">
        <v>1</v>
      </c>
      <c r="D1001">
        <v>48.5</v>
      </c>
      <c r="E1001">
        <v>48.5</v>
      </c>
      <c r="F1001" s="1">
        <v>45697</v>
      </c>
      <c r="G1001" s="1">
        <v>45698</v>
      </c>
      <c r="H1001" t="s">
        <v>12</v>
      </c>
      <c r="I1001" t="s">
        <v>3</v>
      </c>
      <c r="J1001">
        <v>3</v>
      </c>
      <c r="K1001" t="s">
        <v>4</v>
      </c>
      <c r="L1001" t="s">
        <v>18</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5">
      <c r="A1002" t="s">
        <v>1083</v>
      </c>
      <c r="B1002" t="s">
        <v>27</v>
      </c>
      <c r="C1002">
        <v>2</v>
      </c>
      <c r="D1002">
        <v>33.6</v>
      </c>
      <c r="E1002">
        <v>67.2</v>
      </c>
      <c r="F1002" s="1">
        <v>45697</v>
      </c>
      <c r="G1002" s="1">
        <v>45701</v>
      </c>
      <c r="H1002" t="s">
        <v>12</v>
      </c>
      <c r="I1002" t="s">
        <v>25</v>
      </c>
      <c r="J1002">
        <v>5</v>
      </c>
      <c r="K1002" t="s">
        <v>4</v>
      </c>
      <c r="L1002" t="s">
        <v>18</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5">
      <c r="A1003" t="s">
        <v>1084</v>
      </c>
      <c r="B1003" t="s">
        <v>29</v>
      </c>
      <c r="C1003">
        <v>1</v>
      </c>
      <c r="D1003">
        <v>39.299999999999997</v>
      </c>
      <c r="E1003">
        <v>39.299999999999997</v>
      </c>
      <c r="F1003" s="1">
        <v>45697</v>
      </c>
      <c r="G1003" s="1">
        <v>45708</v>
      </c>
      <c r="H1003" t="s">
        <v>12</v>
      </c>
      <c r="I1003" t="s">
        <v>20</v>
      </c>
      <c r="J1003">
        <v>3</v>
      </c>
      <c r="K1003" t="s">
        <v>4</v>
      </c>
      <c r="L1003" t="s">
        <v>787</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5">
      <c r="A1004" t="s">
        <v>1085</v>
      </c>
      <c r="B1004" t="s">
        <v>17</v>
      </c>
      <c r="C1004">
        <v>10</v>
      </c>
      <c r="D1004">
        <v>48.8</v>
      </c>
      <c r="E1004">
        <v>488</v>
      </c>
      <c r="F1004" s="1">
        <v>45697</v>
      </c>
      <c r="G1004" s="1">
        <v>45699</v>
      </c>
      <c r="H1004" t="s">
        <v>12</v>
      </c>
      <c r="I1004" t="s">
        <v>36</v>
      </c>
      <c r="J1004">
        <v>3</v>
      </c>
      <c r="K1004" t="s">
        <v>4</v>
      </c>
      <c r="L1004" t="s">
        <v>173</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5">
      <c r="A1005" t="s">
        <v>1086</v>
      </c>
      <c r="B1005" t="s">
        <v>24</v>
      </c>
      <c r="C1005">
        <v>8</v>
      </c>
      <c r="D1005">
        <v>72.8</v>
      </c>
      <c r="E1005">
        <v>582.4</v>
      </c>
      <c r="F1005" s="1">
        <v>45697</v>
      </c>
      <c r="G1005" s="1">
        <v>45699</v>
      </c>
      <c r="H1005" t="s">
        <v>8</v>
      </c>
      <c r="I1005" t="s">
        <v>20</v>
      </c>
      <c r="J1005">
        <v>5</v>
      </c>
      <c r="K1005" t="s">
        <v>4</v>
      </c>
      <c r="L1005" t="s">
        <v>37</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5">
      <c r="A1006" t="s">
        <v>1087</v>
      </c>
      <c r="B1006" t="s">
        <v>39</v>
      </c>
      <c r="C1006">
        <v>8</v>
      </c>
      <c r="D1006">
        <v>46.2</v>
      </c>
      <c r="E1006">
        <v>369.6</v>
      </c>
      <c r="F1006" s="1">
        <v>45697</v>
      </c>
      <c r="G1006" s="1">
        <v>45698</v>
      </c>
      <c r="H1006" t="s">
        <v>8</v>
      </c>
      <c r="I1006" t="s">
        <v>36</v>
      </c>
      <c r="J1006">
        <v>2</v>
      </c>
      <c r="K1006" t="s">
        <v>4</v>
      </c>
      <c r="L1006" t="s">
        <v>37</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5">
      <c r="A1007" t="s">
        <v>1088</v>
      </c>
      <c r="B1007" t="s">
        <v>17</v>
      </c>
      <c r="C1007">
        <v>2</v>
      </c>
      <c r="D1007">
        <v>20.7</v>
      </c>
      <c r="E1007">
        <v>41.4</v>
      </c>
      <c r="F1007" s="1">
        <v>45697</v>
      </c>
      <c r="G1007" s="1">
        <v>45698</v>
      </c>
      <c r="H1007" t="s">
        <v>12</v>
      </c>
      <c r="I1007" t="s">
        <v>25</v>
      </c>
      <c r="J1007">
        <v>1</v>
      </c>
      <c r="K1007" t="s">
        <v>4</v>
      </c>
      <c r="L1007" t="s">
        <v>40</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5">
      <c r="A1008" t="s">
        <v>1089</v>
      </c>
      <c r="B1008" t="s">
        <v>1</v>
      </c>
      <c r="C1008">
        <v>1</v>
      </c>
      <c r="D1008">
        <v>35.700000000000003</v>
      </c>
      <c r="E1008">
        <v>35.700000000000003</v>
      </c>
      <c r="F1008" s="1">
        <v>45697</v>
      </c>
      <c r="G1008" s="1">
        <v>45699</v>
      </c>
      <c r="H1008" t="s">
        <v>12</v>
      </c>
      <c r="I1008" t="s">
        <v>36</v>
      </c>
      <c r="J1008">
        <v>4</v>
      </c>
      <c r="K1008" t="s">
        <v>4</v>
      </c>
      <c r="L1008" t="s">
        <v>40</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5">
      <c r="A1009" t="s">
        <v>1090</v>
      </c>
      <c r="B1009" t="s">
        <v>11</v>
      </c>
      <c r="C1009">
        <v>16</v>
      </c>
      <c r="D1009">
        <v>166.2</v>
      </c>
      <c r="E1009">
        <v>2659.2</v>
      </c>
      <c r="F1009" s="1">
        <v>45697</v>
      </c>
      <c r="G1009" s="1">
        <v>45699</v>
      </c>
      <c r="H1009" t="s">
        <v>2</v>
      </c>
      <c r="I1009" t="s">
        <v>25</v>
      </c>
      <c r="J1009">
        <v>4</v>
      </c>
      <c r="K1009" t="s">
        <v>4</v>
      </c>
      <c r="L1009" t="s">
        <v>44</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5">
      <c r="A1010" t="s">
        <v>1091</v>
      </c>
      <c r="B1010" t="s">
        <v>24</v>
      </c>
      <c r="C1010">
        <v>4</v>
      </c>
      <c r="D1010">
        <v>85.8</v>
      </c>
      <c r="E1010">
        <v>343.2</v>
      </c>
      <c r="F1010" s="1">
        <v>45697</v>
      </c>
      <c r="G1010" s="1">
        <v>45698</v>
      </c>
      <c r="H1010" t="s">
        <v>12</v>
      </c>
      <c r="I1010" t="s">
        <v>20</v>
      </c>
      <c r="J1010">
        <v>3</v>
      </c>
      <c r="K1010" t="s">
        <v>4</v>
      </c>
      <c r="L1010" t="s">
        <v>44</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5">
      <c r="A1011" t="s">
        <v>1092</v>
      </c>
      <c r="B1011" t="s">
        <v>29</v>
      </c>
      <c r="C1011">
        <v>3</v>
      </c>
      <c r="D1011">
        <v>26</v>
      </c>
      <c r="E1011">
        <v>78</v>
      </c>
      <c r="F1011" s="1">
        <v>45697</v>
      </c>
      <c r="G1011" s="1">
        <v>45699</v>
      </c>
      <c r="H1011" t="s">
        <v>74</v>
      </c>
      <c r="I1011" t="s">
        <v>20</v>
      </c>
      <c r="J1011">
        <v>4</v>
      </c>
      <c r="K1011" t="s">
        <v>4</v>
      </c>
      <c r="L1011" t="s">
        <v>44</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5">
      <c r="A1012" t="s">
        <v>1093</v>
      </c>
      <c r="B1012" t="s">
        <v>11</v>
      </c>
      <c r="C1012">
        <v>13</v>
      </c>
      <c r="D1012">
        <v>116.6</v>
      </c>
      <c r="E1012">
        <v>1515.8</v>
      </c>
      <c r="F1012" s="1">
        <v>45697</v>
      </c>
      <c r="G1012" s="1">
        <v>45700</v>
      </c>
      <c r="H1012" t="s">
        <v>12</v>
      </c>
      <c r="I1012" t="s">
        <v>3</v>
      </c>
      <c r="J1012">
        <v>4</v>
      </c>
      <c r="K1012" t="s">
        <v>4</v>
      </c>
      <c r="L1012" t="s">
        <v>47</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5">
      <c r="A1013" t="s">
        <v>1094</v>
      </c>
      <c r="B1013" t="s">
        <v>31</v>
      </c>
      <c r="C1013">
        <v>7</v>
      </c>
      <c r="D1013">
        <v>53.9</v>
      </c>
      <c r="E1013">
        <v>377.3</v>
      </c>
      <c r="F1013" s="1">
        <v>45697</v>
      </c>
      <c r="G1013" s="1">
        <v>45700</v>
      </c>
      <c r="H1013" t="s">
        <v>74</v>
      </c>
      <c r="I1013" t="s">
        <v>3</v>
      </c>
      <c r="J1013">
        <v>5</v>
      </c>
      <c r="K1013" t="s">
        <v>4</v>
      </c>
      <c r="L1013" t="s">
        <v>47</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5">
      <c r="A1014" t="s">
        <v>1095</v>
      </c>
      <c r="B1014" t="s">
        <v>54</v>
      </c>
      <c r="C1014">
        <v>5</v>
      </c>
      <c r="D1014">
        <v>72.3</v>
      </c>
      <c r="E1014">
        <v>361.5</v>
      </c>
      <c r="F1014" s="1">
        <v>45697</v>
      </c>
      <c r="G1014" s="1">
        <v>45699</v>
      </c>
      <c r="H1014" t="s">
        <v>2</v>
      </c>
      <c r="I1014" t="s">
        <v>25</v>
      </c>
      <c r="J1014">
        <v>5</v>
      </c>
      <c r="K1014" t="s">
        <v>4</v>
      </c>
      <c r="L1014" t="s">
        <v>47</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5">
      <c r="A1015" t="s">
        <v>1096</v>
      </c>
      <c r="B1015" t="s">
        <v>22</v>
      </c>
      <c r="C1015">
        <v>2</v>
      </c>
      <c r="D1015">
        <v>31.4</v>
      </c>
      <c r="E1015">
        <v>62.8</v>
      </c>
      <c r="F1015" s="1">
        <v>45697</v>
      </c>
      <c r="G1015" s="1">
        <v>45699</v>
      </c>
      <c r="H1015" t="s">
        <v>12</v>
      </c>
      <c r="I1015" t="s">
        <v>3</v>
      </c>
      <c r="J1015">
        <v>4</v>
      </c>
      <c r="K1015" t="s">
        <v>4</v>
      </c>
      <c r="L1015" t="s">
        <v>47</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5">
      <c r="A1016" t="s">
        <v>1097</v>
      </c>
      <c r="B1016" t="s">
        <v>61</v>
      </c>
      <c r="C1016">
        <v>2</v>
      </c>
      <c r="D1016">
        <v>53.1</v>
      </c>
      <c r="E1016">
        <v>106.2</v>
      </c>
      <c r="F1016" s="1">
        <v>45697</v>
      </c>
      <c r="G1016" s="1">
        <v>45700</v>
      </c>
      <c r="H1016" t="s">
        <v>8</v>
      </c>
      <c r="I1016" t="s">
        <v>20</v>
      </c>
      <c r="J1016">
        <v>4</v>
      </c>
      <c r="K1016" t="s">
        <v>4</v>
      </c>
      <c r="L1016" t="s">
        <v>47</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5">
      <c r="A1017" t="s">
        <v>1098</v>
      </c>
      <c r="B1017" t="s">
        <v>11</v>
      </c>
      <c r="C1017">
        <v>4</v>
      </c>
      <c r="D1017">
        <v>56.2</v>
      </c>
      <c r="E1017">
        <v>224.8</v>
      </c>
      <c r="F1017" s="1">
        <v>45697</v>
      </c>
      <c r="G1017" s="1">
        <v>45698</v>
      </c>
      <c r="H1017" t="s">
        <v>12</v>
      </c>
      <c r="I1017" t="s">
        <v>3</v>
      </c>
      <c r="J1017">
        <v>4</v>
      </c>
      <c r="K1017" t="s">
        <v>4</v>
      </c>
      <c r="L1017" t="s">
        <v>47</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5">
      <c r="A1018" t="s">
        <v>1099</v>
      </c>
      <c r="B1018" t="s">
        <v>7</v>
      </c>
      <c r="C1018">
        <v>10</v>
      </c>
      <c r="D1018">
        <v>77.3</v>
      </c>
      <c r="E1018">
        <v>773</v>
      </c>
      <c r="F1018" s="1">
        <v>45697</v>
      </c>
      <c r="G1018" s="1">
        <v>45698</v>
      </c>
      <c r="H1018" t="s">
        <v>12</v>
      </c>
      <c r="I1018" t="s">
        <v>25</v>
      </c>
      <c r="J1018">
        <v>4</v>
      </c>
      <c r="K1018" t="s">
        <v>4</v>
      </c>
      <c r="L1018" t="s">
        <v>62</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5">
      <c r="A1019" t="s">
        <v>1100</v>
      </c>
      <c r="B1019" t="s">
        <v>24</v>
      </c>
      <c r="C1019">
        <v>13</v>
      </c>
      <c r="D1019">
        <v>57.8</v>
      </c>
      <c r="E1019">
        <v>751.4</v>
      </c>
      <c r="F1019" s="1">
        <v>45697</v>
      </c>
      <c r="G1019" s="1">
        <v>45698</v>
      </c>
      <c r="H1019" t="s">
        <v>2</v>
      </c>
      <c r="I1019" t="s">
        <v>3</v>
      </c>
      <c r="J1019">
        <v>4</v>
      </c>
      <c r="K1019" t="s">
        <v>4</v>
      </c>
      <c r="L1019" t="s">
        <v>1101</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5">
      <c r="A1020" t="s">
        <v>1102</v>
      </c>
      <c r="B1020" t="s">
        <v>54</v>
      </c>
      <c r="C1020">
        <v>15</v>
      </c>
      <c r="D1020">
        <v>42.1</v>
      </c>
      <c r="E1020">
        <v>631.5</v>
      </c>
      <c r="F1020" s="1">
        <v>45697</v>
      </c>
      <c r="G1020" s="1">
        <v>45699</v>
      </c>
      <c r="H1020" t="s">
        <v>12</v>
      </c>
      <c r="I1020" t="s">
        <v>20</v>
      </c>
      <c r="J1020">
        <v>3</v>
      </c>
      <c r="K1020" t="s">
        <v>4</v>
      </c>
      <c r="L1020" t="s">
        <v>1101</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5">
      <c r="A1021" t="s">
        <v>1103</v>
      </c>
      <c r="B1021" t="s">
        <v>29</v>
      </c>
      <c r="C1021">
        <v>9</v>
      </c>
      <c r="D1021">
        <v>22.8</v>
      </c>
      <c r="E1021">
        <v>205.20000000000002</v>
      </c>
      <c r="F1021" s="1">
        <v>45697</v>
      </c>
      <c r="G1021" s="1">
        <v>45701</v>
      </c>
      <c r="H1021" t="s">
        <v>8</v>
      </c>
      <c r="I1021" t="s">
        <v>25</v>
      </c>
      <c r="J1021">
        <v>5</v>
      </c>
      <c r="K1021" t="s">
        <v>4</v>
      </c>
      <c r="L1021" t="s">
        <v>95</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5">
      <c r="A1022" t="s">
        <v>1104</v>
      </c>
      <c r="B1022" t="s">
        <v>11</v>
      </c>
      <c r="C1022">
        <v>3</v>
      </c>
      <c r="D1022">
        <v>171.1</v>
      </c>
      <c r="E1022">
        <v>513.29999999999995</v>
      </c>
      <c r="F1022" s="1">
        <v>45698</v>
      </c>
      <c r="G1022" s="1">
        <v>45705</v>
      </c>
      <c r="H1022" t="s">
        <v>12</v>
      </c>
      <c r="I1022" t="s">
        <v>25</v>
      </c>
      <c r="J1022">
        <v>3</v>
      </c>
      <c r="K1022" t="s">
        <v>4</v>
      </c>
      <c r="L1022" t="s">
        <v>95</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5">
      <c r="A1023" t="s">
        <v>1105</v>
      </c>
      <c r="B1023" t="s">
        <v>29</v>
      </c>
      <c r="C1023">
        <v>1</v>
      </c>
      <c r="D1023">
        <v>28</v>
      </c>
      <c r="E1023">
        <v>28</v>
      </c>
      <c r="F1023" s="1">
        <v>45698</v>
      </c>
      <c r="G1023" s="1">
        <v>45700</v>
      </c>
      <c r="H1023" t="s">
        <v>8</v>
      </c>
      <c r="I1023" t="s">
        <v>25</v>
      </c>
      <c r="J1023">
        <v>5</v>
      </c>
      <c r="K1023" t="s">
        <v>4</v>
      </c>
      <c r="L1023" t="s">
        <v>100</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5">
      <c r="A1024" t="s">
        <v>1106</v>
      </c>
      <c r="B1024" t="s">
        <v>24</v>
      </c>
      <c r="C1024">
        <v>7</v>
      </c>
      <c r="D1024">
        <v>50.2</v>
      </c>
      <c r="E1024">
        <v>351.40000000000003</v>
      </c>
      <c r="F1024" s="1">
        <v>45698</v>
      </c>
      <c r="G1024" s="1">
        <v>45700</v>
      </c>
      <c r="H1024" t="s">
        <v>8</v>
      </c>
      <c r="I1024" t="s">
        <v>25</v>
      </c>
      <c r="J1024">
        <v>4</v>
      </c>
      <c r="K1024" t="s">
        <v>4</v>
      </c>
      <c r="L1024" t="s">
        <v>100</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5">
      <c r="A1025" t="s">
        <v>1107</v>
      </c>
      <c r="B1025" t="s">
        <v>24</v>
      </c>
      <c r="C1025">
        <v>2</v>
      </c>
      <c r="D1025">
        <v>56</v>
      </c>
      <c r="E1025">
        <v>112</v>
      </c>
      <c r="F1025" s="1">
        <v>45698</v>
      </c>
      <c r="G1025" s="1">
        <v>45698</v>
      </c>
      <c r="H1025" t="s">
        <v>8</v>
      </c>
      <c r="I1025" t="s">
        <v>3</v>
      </c>
      <c r="J1025">
        <v>5</v>
      </c>
      <c r="K1025" t="s">
        <v>4</v>
      </c>
      <c r="L1025" t="s">
        <v>132</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5">
      <c r="A1026" t="s">
        <v>1108</v>
      </c>
      <c r="B1026" t="s">
        <v>7</v>
      </c>
      <c r="C1026">
        <v>2</v>
      </c>
      <c r="D1026">
        <v>38.299999999999997</v>
      </c>
      <c r="E1026">
        <v>76.599999999999994</v>
      </c>
      <c r="F1026" s="1">
        <v>45698</v>
      </c>
      <c r="G1026" s="1">
        <v>45699</v>
      </c>
      <c r="H1026" t="s">
        <v>12</v>
      </c>
      <c r="I1026" t="s">
        <v>20</v>
      </c>
      <c r="J1026">
        <v>4</v>
      </c>
      <c r="K1026" t="s">
        <v>4</v>
      </c>
      <c r="L1026" t="s">
        <v>18</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5">
      <c r="A1027" t="s">
        <v>1109</v>
      </c>
      <c r="B1027" t="s">
        <v>1</v>
      </c>
      <c r="C1027">
        <v>5</v>
      </c>
      <c r="D1027">
        <v>22.3</v>
      </c>
      <c r="E1027">
        <v>111.5</v>
      </c>
      <c r="F1027" s="1">
        <v>45698</v>
      </c>
      <c r="G1027" s="1">
        <v>45702</v>
      </c>
      <c r="H1027" t="s">
        <v>12</v>
      </c>
      <c r="I1027" t="s">
        <v>25</v>
      </c>
      <c r="J1027">
        <v>3</v>
      </c>
      <c r="K1027" t="s">
        <v>4</v>
      </c>
      <c r="L1027" t="s">
        <v>18</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5">
      <c r="A1028" t="s">
        <v>1110</v>
      </c>
      <c r="B1028" t="s">
        <v>1</v>
      </c>
      <c r="C1028">
        <v>3</v>
      </c>
      <c r="D1028">
        <v>22.3</v>
      </c>
      <c r="E1028">
        <v>66.900000000000006</v>
      </c>
      <c r="F1028" s="1">
        <v>45698</v>
      </c>
      <c r="G1028" s="1">
        <v>45701</v>
      </c>
      <c r="H1028" t="s">
        <v>12</v>
      </c>
      <c r="I1028" t="s">
        <v>25</v>
      </c>
      <c r="J1028">
        <v>4</v>
      </c>
      <c r="K1028" t="s">
        <v>4</v>
      </c>
      <c r="L1028" t="s">
        <v>18</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5">
      <c r="A1029" t="s">
        <v>1111</v>
      </c>
      <c r="B1029" t="s">
        <v>7</v>
      </c>
      <c r="C1029">
        <v>1</v>
      </c>
      <c r="D1029">
        <v>32.9</v>
      </c>
      <c r="E1029">
        <v>32.9</v>
      </c>
      <c r="F1029" s="1">
        <v>45698</v>
      </c>
      <c r="G1029" s="1">
        <v>45703</v>
      </c>
      <c r="H1029" t="s">
        <v>12</v>
      </c>
      <c r="I1029" t="s">
        <v>3</v>
      </c>
      <c r="J1029">
        <v>4</v>
      </c>
      <c r="K1029" t="s">
        <v>4</v>
      </c>
      <c r="L1029" t="s">
        <v>18</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5">
      <c r="A1030" t="s">
        <v>1112</v>
      </c>
      <c r="B1030" t="s">
        <v>39</v>
      </c>
      <c r="C1030">
        <v>3</v>
      </c>
      <c r="D1030">
        <v>31.9</v>
      </c>
      <c r="E1030">
        <v>95.699999999999989</v>
      </c>
      <c r="F1030" s="1">
        <v>45698</v>
      </c>
      <c r="G1030" s="1">
        <v>45703</v>
      </c>
      <c r="H1030" t="s">
        <v>12</v>
      </c>
      <c r="I1030" t="s">
        <v>3</v>
      </c>
      <c r="J1030">
        <v>4</v>
      </c>
      <c r="K1030" t="s">
        <v>4</v>
      </c>
      <c r="L1030" t="s">
        <v>18</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5">
      <c r="A1031" t="s">
        <v>1113</v>
      </c>
      <c r="B1031" t="s">
        <v>24</v>
      </c>
      <c r="C1031">
        <v>2</v>
      </c>
      <c r="D1031">
        <v>94</v>
      </c>
      <c r="E1031">
        <v>188</v>
      </c>
      <c r="F1031" s="1">
        <v>45698</v>
      </c>
      <c r="G1031" s="1">
        <v>45699</v>
      </c>
      <c r="H1031" t="s">
        <v>8</v>
      </c>
      <c r="I1031" t="s">
        <v>25</v>
      </c>
      <c r="J1031">
        <v>5</v>
      </c>
      <c r="K1031" t="s">
        <v>4</v>
      </c>
      <c r="L1031" t="s">
        <v>18</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5">
      <c r="A1032" t="s">
        <v>1114</v>
      </c>
      <c r="B1032" t="s">
        <v>39</v>
      </c>
      <c r="C1032">
        <v>2</v>
      </c>
      <c r="D1032">
        <v>30.7</v>
      </c>
      <c r="E1032">
        <v>61.4</v>
      </c>
      <c r="F1032" s="1">
        <v>45698</v>
      </c>
      <c r="G1032" s="1">
        <v>45699</v>
      </c>
      <c r="H1032" t="s">
        <v>12</v>
      </c>
      <c r="I1032" t="s">
        <v>3</v>
      </c>
      <c r="J1032">
        <v>3</v>
      </c>
      <c r="K1032" t="s">
        <v>4</v>
      </c>
      <c r="L1032" t="s">
        <v>18</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5">
      <c r="A1033" t="s">
        <v>1115</v>
      </c>
      <c r="B1033" t="s">
        <v>22</v>
      </c>
      <c r="C1033">
        <v>5</v>
      </c>
      <c r="D1033">
        <v>90.5</v>
      </c>
      <c r="E1033">
        <v>452.5</v>
      </c>
      <c r="F1033" s="1">
        <v>45698</v>
      </c>
      <c r="G1033" s="1">
        <v>45705</v>
      </c>
      <c r="H1033" t="s">
        <v>8</v>
      </c>
      <c r="I1033" t="s">
        <v>3</v>
      </c>
      <c r="J1033">
        <v>5</v>
      </c>
      <c r="K1033" t="s">
        <v>4</v>
      </c>
      <c r="L1033" t="s">
        <v>18</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5">
      <c r="A1034" t="s">
        <v>1116</v>
      </c>
      <c r="B1034" t="s">
        <v>29</v>
      </c>
      <c r="C1034">
        <v>5</v>
      </c>
      <c r="D1034">
        <v>25.3</v>
      </c>
      <c r="E1034">
        <v>126.5</v>
      </c>
      <c r="F1034" s="1">
        <v>45698</v>
      </c>
      <c r="G1034" s="1">
        <v>45702</v>
      </c>
      <c r="H1034" t="s">
        <v>12</v>
      </c>
      <c r="I1034" t="s">
        <v>3</v>
      </c>
      <c r="J1034">
        <v>5</v>
      </c>
      <c r="K1034" t="s">
        <v>4</v>
      </c>
      <c r="L1034" t="s">
        <v>18</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5">
      <c r="A1035" t="s">
        <v>1117</v>
      </c>
      <c r="B1035" t="s">
        <v>24</v>
      </c>
      <c r="C1035">
        <v>3</v>
      </c>
      <c r="D1035">
        <v>58.1</v>
      </c>
      <c r="E1035">
        <v>174.3</v>
      </c>
      <c r="F1035" s="1">
        <v>45698</v>
      </c>
      <c r="G1035" s="1">
        <v>45702</v>
      </c>
      <c r="H1035" t="s">
        <v>2</v>
      </c>
      <c r="I1035" t="s">
        <v>3</v>
      </c>
      <c r="J1035">
        <v>5</v>
      </c>
      <c r="K1035" t="s">
        <v>4</v>
      </c>
      <c r="L1035" t="s">
        <v>18</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5">
      <c r="A1036" t="s">
        <v>1118</v>
      </c>
      <c r="B1036" t="s">
        <v>11</v>
      </c>
      <c r="C1036">
        <v>3</v>
      </c>
      <c r="D1036">
        <v>74.900000000000006</v>
      </c>
      <c r="E1036">
        <v>224.70000000000002</v>
      </c>
      <c r="F1036" s="1">
        <v>45698</v>
      </c>
      <c r="G1036" s="1">
        <v>45699</v>
      </c>
      <c r="H1036" t="s">
        <v>12</v>
      </c>
      <c r="I1036" t="s">
        <v>55</v>
      </c>
      <c r="J1036">
        <v>4</v>
      </c>
      <c r="K1036" t="s">
        <v>4</v>
      </c>
      <c r="L1036" t="s">
        <v>18</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5">
      <c r="A1037" t="s">
        <v>1119</v>
      </c>
      <c r="B1037" t="s">
        <v>17</v>
      </c>
      <c r="C1037">
        <v>2</v>
      </c>
      <c r="D1037">
        <v>32.5</v>
      </c>
      <c r="E1037">
        <v>65</v>
      </c>
      <c r="F1037" s="1">
        <v>45698</v>
      </c>
      <c r="G1037" s="1">
        <v>45699</v>
      </c>
      <c r="H1037" t="s">
        <v>8</v>
      </c>
      <c r="I1037" t="s">
        <v>25</v>
      </c>
      <c r="J1037">
        <v>5</v>
      </c>
      <c r="K1037" t="s">
        <v>4</v>
      </c>
      <c r="L1037" t="s">
        <v>530</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5">
      <c r="A1038" t="s">
        <v>1120</v>
      </c>
      <c r="B1038" t="s">
        <v>17</v>
      </c>
      <c r="C1038">
        <v>5</v>
      </c>
      <c r="D1038">
        <v>62</v>
      </c>
      <c r="E1038">
        <v>310</v>
      </c>
      <c r="F1038" s="1">
        <v>45698</v>
      </c>
      <c r="G1038" s="1">
        <v>45699</v>
      </c>
      <c r="H1038" t="s">
        <v>8</v>
      </c>
      <c r="I1038" t="s">
        <v>55</v>
      </c>
      <c r="J1038">
        <v>5</v>
      </c>
      <c r="K1038" t="s">
        <v>4</v>
      </c>
      <c r="L1038" t="s">
        <v>173</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5">
      <c r="A1039" t="s">
        <v>1121</v>
      </c>
      <c r="B1039" t="s">
        <v>61</v>
      </c>
      <c r="C1039">
        <v>6</v>
      </c>
      <c r="D1039">
        <v>28.9</v>
      </c>
      <c r="E1039">
        <v>173.39999999999998</v>
      </c>
      <c r="F1039" s="1">
        <v>45698</v>
      </c>
      <c r="G1039" s="1">
        <v>45701</v>
      </c>
      <c r="H1039" t="s">
        <v>12</v>
      </c>
      <c r="I1039" t="s">
        <v>3</v>
      </c>
      <c r="J1039">
        <v>3</v>
      </c>
      <c r="K1039" t="s">
        <v>4</v>
      </c>
      <c r="L1039" t="s">
        <v>40</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5">
      <c r="A1040" t="s">
        <v>1122</v>
      </c>
      <c r="B1040" t="s">
        <v>24</v>
      </c>
      <c r="C1040">
        <v>8</v>
      </c>
      <c r="D1040">
        <v>42.8</v>
      </c>
      <c r="E1040">
        <v>342.4</v>
      </c>
      <c r="F1040" s="1">
        <v>45698</v>
      </c>
      <c r="G1040" s="1">
        <v>45700</v>
      </c>
      <c r="H1040" t="s">
        <v>12</v>
      </c>
      <c r="I1040" t="s">
        <v>3</v>
      </c>
      <c r="J1040">
        <v>5</v>
      </c>
      <c r="K1040" t="s">
        <v>4</v>
      </c>
      <c r="L1040" t="s">
        <v>40</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5">
      <c r="A1041" t="s">
        <v>1123</v>
      </c>
      <c r="B1041" t="s">
        <v>29</v>
      </c>
      <c r="C1041">
        <v>8</v>
      </c>
      <c r="D1041">
        <v>39.4</v>
      </c>
      <c r="E1041">
        <v>315.2</v>
      </c>
      <c r="F1041" s="1">
        <v>45698</v>
      </c>
      <c r="G1041" s="1">
        <v>45700</v>
      </c>
      <c r="H1041" t="s">
        <v>8</v>
      </c>
      <c r="I1041" t="s">
        <v>3</v>
      </c>
      <c r="J1041">
        <v>4</v>
      </c>
      <c r="K1041" t="s">
        <v>4</v>
      </c>
      <c r="L1041" t="s">
        <v>327</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5">
      <c r="A1042" t="s">
        <v>1124</v>
      </c>
      <c r="B1042" t="s">
        <v>131</v>
      </c>
      <c r="C1042">
        <v>3</v>
      </c>
      <c r="D1042">
        <v>66.400000000000006</v>
      </c>
      <c r="E1042">
        <v>199.20000000000002</v>
      </c>
      <c r="F1042" s="1">
        <v>45698</v>
      </c>
      <c r="G1042" s="1">
        <v>45699</v>
      </c>
      <c r="H1042" t="s">
        <v>2</v>
      </c>
      <c r="I1042" t="s">
        <v>25</v>
      </c>
      <c r="J1042">
        <v>3</v>
      </c>
      <c r="K1042" t="s">
        <v>4</v>
      </c>
      <c r="L1042" t="s">
        <v>44</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5">
      <c r="A1043" t="s">
        <v>1125</v>
      </c>
      <c r="B1043" t="s">
        <v>120</v>
      </c>
      <c r="C1043">
        <v>4</v>
      </c>
      <c r="D1043">
        <v>35.9</v>
      </c>
      <c r="E1043">
        <v>143.6</v>
      </c>
      <c r="F1043" s="1">
        <v>45698</v>
      </c>
      <c r="G1043" s="1">
        <v>45705</v>
      </c>
      <c r="H1043" t="s">
        <v>12</v>
      </c>
      <c r="I1043" t="s">
        <v>20</v>
      </c>
      <c r="J1043">
        <v>4</v>
      </c>
      <c r="K1043" t="s">
        <v>4</v>
      </c>
      <c r="L1043" t="s">
        <v>44</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5">
      <c r="A1044" t="s">
        <v>1126</v>
      </c>
      <c r="B1044" t="s">
        <v>1</v>
      </c>
      <c r="C1044">
        <v>4</v>
      </c>
      <c r="D1044">
        <v>26.9</v>
      </c>
      <c r="E1044">
        <v>107.6</v>
      </c>
      <c r="F1044" s="1">
        <v>45698</v>
      </c>
      <c r="G1044" s="1">
        <v>45699</v>
      </c>
      <c r="H1044" t="s">
        <v>8</v>
      </c>
      <c r="I1044" t="s">
        <v>20</v>
      </c>
      <c r="J1044">
        <v>4</v>
      </c>
      <c r="K1044" t="s">
        <v>4</v>
      </c>
      <c r="L1044" t="s">
        <v>44</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5">
      <c r="A1045" t="s">
        <v>1127</v>
      </c>
      <c r="B1045" t="s">
        <v>11</v>
      </c>
      <c r="C1045">
        <v>1</v>
      </c>
      <c r="D1045">
        <v>55.1</v>
      </c>
      <c r="E1045">
        <v>55.1</v>
      </c>
      <c r="F1045" s="1">
        <v>45698</v>
      </c>
      <c r="G1045" s="1">
        <v>45699</v>
      </c>
      <c r="H1045" t="s">
        <v>12</v>
      </c>
      <c r="I1045" t="s">
        <v>3</v>
      </c>
      <c r="J1045">
        <v>4</v>
      </c>
      <c r="K1045" t="s">
        <v>4</v>
      </c>
      <c r="L1045" t="s">
        <v>44</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5">
      <c r="A1046" t="s">
        <v>1128</v>
      </c>
      <c r="B1046" t="s">
        <v>17</v>
      </c>
      <c r="C1046">
        <v>2</v>
      </c>
      <c r="D1046">
        <v>23.9</v>
      </c>
      <c r="E1046">
        <v>47.8</v>
      </c>
      <c r="F1046" s="1">
        <v>45698</v>
      </c>
      <c r="G1046" s="1">
        <v>45699</v>
      </c>
      <c r="H1046" t="s">
        <v>8</v>
      </c>
      <c r="I1046" t="s">
        <v>3</v>
      </c>
      <c r="J1046">
        <v>5</v>
      </c>
      <c r="K1046" t="s">
        <v>4</v>
      </c>
      <c r="L1046" t="s">
        <v>47</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5">
      <c r="A1047" t="s">
        <v>1129</v>
      </c>
      <c r="B1047" t="s">
        <v>31</v>
      </c>
      <c r="C1047">
        <v>13</v>
      </c>
      <c r="D1047">
        <v>21.1</v>
      </c>
      <c r="E1047">
        <v>274.3</v>
      </c>
      <c r="F1047" s="1">
        <v>45698</v>
      </c>
      <c r="G1047" s="1">
        <v>45706</v>
      </c>
      <c r="H1047" t="s">
        <v>12</v>
      </c>
      <c r="I1047" t="s">
        <v>3</v>
      </c>
      <c r="J1047">
        <v>3</v>
      </c>
      <c r="K1047" t="s">
        <v>4</v>
      </c>
      <c r="L1047" t="s">
        <v>47</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5">
      <c r="A1048" t="s">
        <v>1130</v>
      </c>
      <c r="B1048" t="s">
        <v>29</v>
      </c>
      <c r="C1048">
        <v>5</v>
      </c>
      <c r="D1048">
        <v>33.799999999999997</v>
      </c>
      <c r="E1048">
        <v>169</v>
      </c>
      <c r="F1048" s="1">
        <v>45698</v>
      </c>
      <c r="G1048" s="1">
        <v>45700</v>
      </c>
      <c r="H1048" t="s">
        <v>12</v>
      </c>
      <c r="I1048" t="s">
        <v>3</v>
      </c>
      <c r="J1048">
        <v>4</v>
      </c>
      <c r="K1048" t="s">
        <v>4</v>
      </c>
      <c r="L1048" t="s">
        <v>47</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5">
      <c r="A1049" t="s">
        <v>1131</v>
      </c>
      <c r="B1049" t="s">
        <v>11</v>
      </c>
      <c r="C1049">
        <v>4</v>
      </c>
      <c r="D1049">
        <v>56.1</v>
      </c>
      <c r="E1049">
        <v>224.4</v>
      </c>
      <c r="F1049" s="1">
        <v>45698</v>
      </c>
      <c r="G1049" s="1">
        <v>45698</v>
      </c>
      <c r="H1049" t="s">
        <v>12</v>
      </c>
      <c r="I1049" t="s">
        <v>36</v>
      </c>
      <c r="J1049">
        <v>5</v>
      </c>
      <c r="K1049" t="s">
        <v>4</v>
      </c>
      <c r="L1049" t="s">
        <v>57</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5">
      <c r="A1050" t="s">
        <v>1132</v>
      </c>
      <c r="B1050" t="s">
        <v>15</v>
      </c>
      <c r="C1050">
        <v>1</v>
      </c>
      <c r="D1050">
        <v>58.5</v>
      </c>
      <c r="E1050">
        <v>58.5</v>
      </c>
      <c r="F1050" s="1">
        <v>45699</v>
      </c>
      <c r="G1050" s="1">
        <v>45703</v>
      </c>
      <c r="H1050" t="s">
        <v>12</v>
      </c>
      <c r="I1050" t="s">
        <v>20</v>
      </c>
      <c r="J1050">
        <v>5</v>
      </c>
      <c r="K1050" t="s">
        <v>4</v>
      </c>
      <c r="L1050" t="s">
        <v>57</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5">
      <c r="A1051" t="s">
        <v>1133</v>
      </c>
      <c r="B1051" t="s">
        <v>24</v>
      </c>
      <c r="C1051">
        <v>1</v>
      </c>
      <c r="D1051">
        <v>84.2</v>
      </c>
      <c r="E1051">
        <v>84.2</v>
      </c>
      <c r="F1051" s="1">
        <v>45699</v>
      </c>
      <c r="G1051" s="1">
        <v>45701</v>
      </c>
      <c r="H1051" t="s">
        <v>8</v>
      </c>
      <c r="I1051" t="s">
        <v>36</v>
      </c>
      <c r="J1051">
        <v>4</v>
      </c>
      <c r="K1051" t="s">
        <v>4</v>
      </c>
      <c r="L1051" t="s">
        <v>62</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5">
      <c r="A1052" t="s">
        <v>1134</v>
      </c>
      <c r="B1052" t="s">
        <v>52</v>
      </c>
      <c r="C1052">
        <v>4</v>
      </c>
      <c r="D1052">
        <v>52</v>
      </c>
      <c r="E1052">
        <v>208</v>
      </c>
      <c r="F1052" s="1">
        <v>45699</v>
      </c>
      <c r="G1052" s="1">
        <v>45702</v>
      </c>
      <c r="H1052" t="s">
        <v>8</v>
      </c>
      <c r="I1052" t="s">
        <v>3</v>
      </c>
      <c r="J1052">
        <v>4</v>
      </c>
      <c r="K1052" t="s">
        <v>4</v>
      </c>
      <c r="L1052" t="s">
        <v>62</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5">
      <c r="A1053" t="s">
        <v>1135</v>
      </c>
      <c r="B1053" t="s">
        <v>17</v>
      </c>
      <c r="C1053">
        <v>5</v>
      </c>
      <c r="D1053">
        <v>31.5</v>
      </c>
      <c r="E1053">
        <v>157.5</v>
      </c>
      <c r="F1053" s="1">
        <v>45699</v>
      </c>
      <c r="G1053" s="1">
        <v>45700</v>
      </c>
      <c r="H1053" t="s">
        <v>12</v>
      </c>
      <c r="I1053" t="s">
        <v>3</v>
      </c>
      <c r="J1053">
        <v>5</v>
      </c>
      <c r="K1053" t="s">
        <v>4</v>
      </c>
      <c r="L1053" t="s">
        <v>62</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5">
      <c r="A1054" t="s">
        <v>1136</v>
      </c>
      <c r="B1054" t="s">
        <v>113</v>
      </c>
      <c r="C1054">
        <v>3</v>
      </c>
      <c r="D1054">
        <v>46.2</v>
      </c>
      <c r="E1054">
        <v>138.60000000000002</v>
      </c>
      <c r="F1054" s="1">
        <v>45699</v>
      </c>
      <c r="G1054" s="1">
        <v>45700</v>
      </c>
      <c r="H1054" t="s">
        <v>8</v>
      </c>
      <c r="I1054" t="s">
        <v>3</v>
      </c>
      <c r="J1054">
        <v>4</v>
      </c>
      <c r="K1054" t="s">
        <v>4</v>
      </c>
      <c r="L1054" t="s">
        <v>1101</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5">
      <c r="A1055" t="s">
        <v>1137</v>
      </c>
      <c r="B1055" t="s">
        <v>11</v>
      </c>
      <c r="C1055">
        <v>6</v>
      </c>
      <c r="D1055">
        <v>135</v>
      </c>
      <c r="E1055">
        <v>810</v>
      </c>
      <c r="F1055" s="1">
        <v>45699</v>
      </c>
      <c r="G1055" s="1">
        <v>45700</v>
      </c>
      <c r="H1055" t="s">
        <v>12</v>
      </c>
      <c r="I1055" t="s">
        <v>20</v>
      </c>
      <c r="J1055">
        <v>5</v>
      </c>
      <c r="K1055" t="s">
        <v>4</v>
      </c>
      <c r="L1055" t="s">
        <v>93</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5">
      <c r="A1056" t="s">
        <v>1138</v>
      </c>
      <c r="B1056" t="s">
        <v>54</v>
      </c>
      <c r="C1056">
        <v>3</v>
      </c>
      <c r="D1056">
        <v>92.2</v>
      </c>
      <c r="E1056">
        <v>276.60000000000002</v>
      </c>
      <c r="F1056" s="1">
        <v>45699</v>
      </c>
      <c r="G1056" s="1">
        <v>45703</v>
      </c>
      <c r="H1056" t="s">
        <v>8</v>
      </c>
      <c r="I1056" t="s">
        <v>3</v>
      </c>
      <c r="J1056">
        <v>4</v>
      </c>
      <c r="K1056" t="s">
        <v>4</v>
      </c>
      <c r="L1056" t="s">
        <v>100</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5">
      <c r="A1057" t="s">
        <v>1139</v>
      </c>
      <c r="B1057" t="s">
        <v>29</v>
      </c>
      <c r="C1057">
        <v>1</v>
      </c>
      <c r="D1057">
        <v>36.6</v>
      </c>
      <c r="E1057">
        <v>36.6</v>
      </c>
      <c r="F1057" s="1">
        <v>45699</v>
      </c>
      <c r="G1057" s="1">
        <v>45701</v>
      </c>
      <c r="H1057" t="s">
        <v>8</v>
      </c>
      <c r="I1057" t="s">
        <v>25</v>
      </c>
      <c r="J1057">
        <v>5</v>
      </c>
      <c r="K1057" t="s">
        <v>4</v>
      </c>
      <c r="L1057" t="s">
        <v>100</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5">
      <c r="A1058" t="s">
        <v>1140</v>
      </c>
      <c r="B1058" t="s">
        <v>31</v>
      </c>
      <c r="C1058">
        <v>2</v>
      </c>
      <c r="D1058">
        <v>50.6</v>
      </c>
      <c r="E1058">
        <v>101.2</v>
      </c>
      <c r="F1058" s="1">
        <v>45699</v>
      </c>
      <c r="G1058" s="1">
        <v>45702</v>
      </c>
      <c r="H1058" t="s">
        <v>12</v>
      </c>
      <c r="I1058" t="s">
        <v>3</v>
      </c>
      <c r="J1058">
        <v>4</v>
      </c>
      <c r="K1058" t="s">
        <v>4</v>
      </c>
      <c r="L1058" t="s">
        <v>13</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5">
      <c r="A1059" t="s">
        <v>1141</v>
      </c>
      <c r="B1059" t="s">
        <v>131</v>
      </c>
      <c r="C1059">
        <v>7</v>
      </c>
      <c r="D1059">
        <v>56.7</v>
      </c>
      <c r="E1059">
        <v>396.90000000000003</v>
      </c>
      <c r="F1059" s="1">
        <v>45699</v>
      </c>
      <c r="G1059" s="1">
        <v>45702</v>
      </c>
      <c r="H1059" t="s">
        <v>12</v>
      </c>
      <c r="I1059" t="s">
        <v>3</v>
      </c>
      <c r="J1059">
        <v>4</v>
      </c>
      <c r="K1059" t="s">
        <v>4</v>
      </c>
      <c r="L1059" t="s">
        <v>13</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5">
      <c r="A1060" t="s">
        <v>1142</v>
      </c>
      <c r="B1060" t="s">
        <v>31</v>
      </c>
      <c r="C1060">
        <v>13</v>
      </c>
      <c r="D1060">
        <v>22.9</v>
      </c>
      <c r="E1060">
        <v>297.7</v>
      </c>
      <c r="F1060" s="1">
        <v>45699</v>
      </c>
      <c r="G1060" s="1">
        <v>45700</v>
      </c>
      <c r="H1060" t="s">
        <v>12</v>
      </c>
      <c r="I1060" t="s">
        <v>3</v>
      </c>
      <c r="J1060">
        <v>3</v>
      </c>
      <c r="K1060" t="s">
        <v>4</v>
      </c>
      <c r="L1060" t="s">
        <v>572</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5">
      <c r="A1061" t="s">
        <v>1143</v>
      </c>
      <c r="B1061" t="s">
        <v>108</v>
      </c>
      <c r="C1061">
        <v>19</v>
      </c>
      <c r="D1061">
        <v>53.6</v>
      </c>
      <c r="E1061">
        <v>1018.4</v>
      </c>
      <c r="F1061" s="1">
        <v>45699</v>
      </c>
      <c r="G1061" s="1">
        <v>45700</v>
      </c>
      <c r="H1061" t="s">
        <v>8</v>
      </c>
      <c r="I1061" t="s">
        <v>3</v>
      </c>
      <c r="J1061">
        <v>4</v>
      </c>
      <c r="K1061" t="s">
        <v>4</v>
      </c>
      <c r="L1061" t="s">
        <v>132</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5">
      <c r="A1062" t="s">
        <v>1144</v>
      </c>
      <c r="B1062" t="s">
        <v>131</v>
      </c>
      <c r="C1062">
        <v>2</v>
      </c>
      <c r="D1062">
        <v>30.2</v>
      </c>
      <c r="E1062">
        <v>60.4</v>
      </c>
      <c r="F1062" s="1">
        <v>45699</v>
      </c>
      <c r="G1062" s="1">
        <v>45701</v>
      </c>
      <c r="H1062" t="s">
        <v>2</v>
      </c>
      <c r="I1062" t="s">
        <v>25</v>
      </c>
      <c r="J1062">
        <v>5</v>
      </c>
      <c r="K1062" t="s">
        <v>4</v>
      </c>
      <c r="L1062" t="s">
        <v>18</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5">
      <c r="A1063" t="s">
        <v>1145</v>
      </c>
      <c r="B1063" t="s">
        <v>108</v>
      </c>
      <c r="C1063">
        <v>6</v>
      </c>
      <c r="D1063">
        <v>83.4</v>
      </c>
      <c r="E1063">
        <v>500.40000000000003</v>
      </c>
      <c r="F1063" s="1">
        <v>45699</v>
      </c>
      <c r="G1063" s="1">
        <v>45700</v>
      </c>
      <c r="H1063" t="s">
        <v>8</v>
      </c>
      <c r="I1063" t="s">
        <v>20</v>
      </c>
      <c r="J1063">
        <v>5</v>
      </c>
      <c r="K1063" t="s">
        <v>4</v>
      </c>
      <c r="L1063" t="s">
        <v>18</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5">
      <c r="A1064" t="s">
        <v>1146</v>
      </c>
      <c r="B1064" t="s">
        <v>61</v>
      </c>
      <c r="C1064">
        <v>12</v>
      </c>
      <c r="D1064">
        <v>16.600000000000001</v>
      </c>
      <c r="E1064">
        <v>199.20000000000002</v>
      </c>
      <c r="F1064" s="1">
        <v>45699</v>
      </c>
      <c r="G1064" s="1">
        <v>45701</v>
      </c>
      <c r="H1064" t="s">
        <v>8</v>
      </c>
      <c r="I1064" t="s">
        <v>20</v>
      </c>
      <c r="J1064">
        <v>4</v>
      </c>
      <c r="K1064" t="s">
        <v>4</v>
      </c>
      <c r="L1064" t="s">
        <v>18</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5">
      <c r="A1065" t="s">
        <v>1147</v>
      </c>
      <c r="B1065" t="s">
        <v>29</v>
      </c>
      <c r="C1065">
        <v>17</v>
      </c>
      <c r="D1065">
        <v>21.9</v>
      </c>
      <c r="E1065">
        <v>372.29999999999995</v>
      </c>
      <c r="F1065" s="1">
        <v>45699</v>
      </c>
      <c r="G1065" s="1">
        <v>45701</v>
      </c>
      <c r="H1065" t="s">
        <v>12</v>
      </c>
      <c r="I1065" t="s">
        <v>55</v>
      </c>
      <c r="J1065">
        <v>3</v>
      </c>
      <c r="K1065" t="s">
        <v>4</v>
      </c>
      <c r="L1065" t="s">
        <v>18</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5">
      <c r="A1066" t="s">
        <v>1148</v>
      </c>
      <c r="B1066" t="s">
        <v>29</v>
      </c>
      <c r="C1066">
        <v>28</v>
      </c>
      <c r="D1066">
        <v>33.799999999999997</v>
      </c>
      <c r="E1066">
        <v>946.39999999999986</v>
      </c>
      <c r="F1066" s="1">
        <v>45699</v>
      </c>
      <c r="G1066" s="1">
        <v>45701</v>
      </c>
      <c r="H1066" t="s">
        <v>8</v>
      </c>
      <c r="I1066" t="s">
        <v>25</v>
      </c>
      <c r="J1066">
        <v>2</v>
      </c>
      <c r="K1066" t="s">
        <v>4</v>
      </c>
      <c r="L1066" t="s">
        <v>18</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5">
      <c r="A1067" t="s">
        <v>1149</v>
      </c>
      <c r="B1067" t="s">
        <v>131</v>
      </c>
      <c r="C1067">
        <v>2</v>
      </c>
      <c r="D1067">
        <v>53.2</v>
      </c>
      <c r="E1067">
        <v>106.4</v>
      </c>
      <c r="F1067" s="1">
        <v>45699</v>
      </c>
      <c r="G1067" s="1">
        <v>45699</v>
      </c>
      <c r="H1067" t="s">
        <v>8</v>
      </c>
      <c r="I1067" t="s">
        <v>20</v>
      </c>
      <c r="J1067">
        <v>4</v>
      </c>
      <c r="K1067" t="s">
        <v>4</v>
      </c>
      <c r="L1067" t="s">
        <v>18</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5">
      <c r="A1068" t="s">
        <v>1150</v>
      </c>
      <c r="B1068" t="s">
        <v>11</v>
      </c>
      <c r="C1068">
        <v>2</v>
      </c>
      <c r="D1068">
        <v>176.7</v>
      </c>
      <c r="E1068">
        <v>353.4</v>
      </c>
      <c r="F1068" s="1">
        <v>45699</v>
      </c>
      <c r="G1068" s="1">
        <v>45702</v>
      </c>
      <c r="H1068" t="s">
        <v>12</v>
      </c>
      <c r="I1068" t="s">
        <v>25</v>
      </c>
      <c r="J1068">
        <v>4</v>
      </c>
      <c r="K1068" t="s">
        <v>4</v>
      </c>
      <c r="L1068" t="s">
        <v>18</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5">
      <c r="A1069" t="s">
        <v>1151</v>
      </c>
      <c r="B1069" t="s">
        <v>54</v>
      </c>
      <c r="C1069">
        <v>3</v>
      </c>
      <c r="D1069">
        <v>54</v>
      </c>
      <c r="E1069">
        <v>162</v>
      </c>
      <c r="F1069" s="1">
        <v>45699</v>
      </c>
      <c r="G1069" s="1">
        <v>45702</v>
      </c>
      <c r="H1069" t="s">
        <v>8</v>
      </c>
      <c r="I1069" t="s">
        <v>3</v>
      </c>
      <c r="J1069">
        <v>3</v>
      </c>
      <c r="K1069" t="s">
        <v>4</v>
      </c>
      <c r="L1069" t="s">
        <v>18</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5">
      <c r="A1070" t="s">
        <v>1152</v>
      </c>
      <c r="B1070" t="s">
        <v>31</v>
      </c>
      <c r="C1070">
        <v>2</v>
      </c>
      <c r="D1070">
        <v>70.099999999999994</v>
      </c>
      <c r="E1070">
        <v>140.19999999999999</v>
      </c>
      <c r="F1070" s="1">
        <v>45699</v>
      </c>
      <c r="G1070" s="1">
        <v>45707</v>
      </c>
      <c r="H1070" t="s">
        <v>12</v>
      </c>
      <c r="I1070" t="s">
        <v>36</v>
      </c>
      <c r="J1070">
        <v>5</v>
      </c>
      <c r="K1070" t="s">
        <v>4</v>
      </c>
      <c r="L1070" t="s">
        <v>18</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5">
      <c r="A1071" t="s">
        <v>1153</v>
      </c>
      <c r="B1071" t="s">
        <v>29</v>
      </c>
      <c r="C1071">
        <v>1</v>
      </c>
      <c r="D1071">
        <v>26.5</v>
      </c>
      <c r="E1071">
        <v>26.5</v>
      </c>
      <c r="F1071" s="1">
        <v>45699</v>
      </c>
      <c r="G1071" s="1">
        <v>45701</v>
      </c>
      <c r="H1071" t="s">
        <v>12</v>
      </c>
      <c r="I1071" t="s">
        <v>20</v>
      </c>
      <c r="J1071">
        <v>4</v>
      </c>
      <c r="K1071" t="s">
        <v>4</v>
      </c>
      <c r="L1071" t="s">
        <v>18</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5">
      <c r="A1072" t="s">
        <v>1154</v>
      </c>
      <c r="B1072" t="s">
        <v>27</v>
      </c>
      <c r="C1072">
        <v>5</v>
      </c>
      <c r="D1072">
        <v>89</v>
      </c>
      <c r="E1072">
        <v>445</v>
      </c>
      <c r="F1072" s="1">
        <v>45699</v>
      </c>
      <c r="G1072" s="1">
        <v>45701</v>
      </c>
      <c r="H1072" t="s">
        <v>8</v>
      </c>
      <c r="I1072" t="s">
        <v>25</v>
      </c>
      <c r="J1072">
        <v>2</v>
      </c>
      <c r="K1072" t="s">
        <v>4</v>
      </c>
      <c r="L1072" t="s">
        <v>18</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5">
      <c r="A1073" t="s">
        <v>1155</v>
      </c>
      <c r="B1073" t="s">
        <v>7</v>
      </c>
      <c r="C1073">
        <v>6</v>
      </c>
      <c r="D1073">
        <v>47</v>
      </c>
      <c r="E1073">
        <v>282</v>
      </c>
      <c r="F1073" s="1">
        <v>45699</v>
      </c>
      <c r="G1073" s="1">
        <v>45702</v>
      </c>
      <c r="H1073" t="s">
        <v>12</v>
      </c>
      <c r="I1073" t="s">
        <v>36</v>
      </c>
      <c r="J1073">
        <v>4</v>
      </c>
      <c r="K1073" t="s">
        <v>4</v>
      </c>
      <c r="L1073" t="s">
        <v>171</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5">
      <c r="A1074" t="s">
        <v>1156</v>
      </c>
      <c r="B1074" t="s">
        <v>15</v>
      </c>
      <c r="C1074">
        <v>2</v>
      </c>
      <c r="D1074">
        <v>55.2</v>
      </c>
      <c r="E1074">
        <v>110.4</v>
      </c>
      <c r="F1074" s="1">
        <v>45699</v>
      </c>
      <c r="G1074" s="1">
        <v>45702</v>
      </c>
      <c r="H1074" t="s">
        <v>8</v>
      </c>
      <c r="I1074" t="s">
        <v>20</v>
      </c>
      <c r="J1074">
        <v>3</v>
      </c>
      <c r="K1074" t="s">
        <v>4</v>
      </c>
      <c r="L1074" t="s">
        <v>40</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5">
      <c r="A1075" t="s">
        <v>1157</v>
      </c>
      <c r="B1075" t="s">
        <v>29</v>
      </c>
      <c r="C1075">
        <v>42</v>
      </c>
      <c r="D1075">
        <v>33.299999999999997</v>
      </c>
      <c r="E1075">
        <v>1398.6</v>
      </c>
      <c r="F1075" s="1">
        <v>45699</v>
      </c>
      <c r="G1075" s="1">
        <v>45713</v>
      </c>
      <c r="H1075" t="s">
        <v>8</v>
      </c>
      <c r="I1075" t="s">
        <v>20</v>
      </c>
      <c r="J1075">
        <v>5</v>
      </c>
      <c r="K1075" t="s">
        <v>4</v>
      </c>
      <c r="L1075" t="s">
        <v>40</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5">
      <c r="A1076" t="s">
        <v>1158</v>
      </c>
      <c r="B1076" t="s">
        <v>11</v>
      </c>
      <c r="C1076">
        <v>4</v>
      </c>
      <c r="D1076">
        <v>110.9</v>
      </c>
      <c r="E1076">
        <v>443.6</v>
      </c>
      <c r="F1076" s="1">
        <v>45700</v>
      </c>
      <c r="G1076" s="1">
        <v>45700</v>
      </c>
      <c r="H1076" t="s">
        <v>8</v>
      </c>
      <c r="I1076" t="s">
        <v>25</v>
      </c>
      <c r="J1076">
        <v>2</v>
      </c>
      <c r="K1076" t="s">
        <v>4</v>
      </c>
      <c r="L1076" t="s">
        <v>40</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5">
      <c r="A1077" t="s">
        <v>1159</v>
      </c>
      <c r="B1077" t="s">
        <v>11</v>
      </c>
      <c r="C1077">
        <v>6</v>
      </c>
      <c r="D1077">
        <v>67.3</v>
      </c>
      <c r="E1077">
        <v>403.79999999999995</v>
      </c>
      <c r="F1077" s="1">
        <v>45700</v>
      </c>
      <c r="G1077" s="1">
        <v>45701</v>
      </c>
      <c r="H1077" t="s">
        <v>8</v>
      </c>
      <c r="I1077" t="s">
        <v>3</v>
      </c>
      <c r="J1077">
        <v>4</v>
      </c>
      <c r="K1077" t="s">
        <v>4</v>
      </c>
      <c r="L1077" t="s">
        <v>47</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5">
      <c r="A1078" t="s">
        <v>1160</v>
      </c>
      <c r="B1078" t="s">
        <v>24</v>
      </c>
      <c r="C1078">
        <v>3</v>
      </c>
      <c r="D1078">
        <v>69.7</v>
      </c>
      <c r="E1078">
        <v>209.10000000000002</v>
      </c>
      <c r="F1078" s="1">
        <v>45700</v>
      </c>
      <c r="G1078" s="1">
        <v>45701</v>
      </c>
      <c r="H1078" t="s">
        <v>8</v>
      </c>
      <c r="I1078" t="s">
        <v>25</v>
      </c>
      <c r="J1078">
        <v>3</v>
      </c>
      <c r="K1078" t="s">
        <v>4</v>
      </c>
      <c r="L1078" t="s">
        <v>47</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5">
      <c r="A1079" t="s">
        <v>1161</v>
      </c>
      <c r="B1079" t="s">
        <v>22</v>
      </c>
      <c r="C1079">
        <v>1</v>
      </c>
      <c r="D1079">
        <v>39.1</v>
      </c>
      <c r="E1079">
        <v>39.1</v>
      </c>
      <c r="F1079" s="1">
        <v>45700</v>
      </c>
      <c r="G1079" s="1">
        <v>45705</v>
      </c>
      <c r="H1079" t="s">
        <v>8</v>
      </c>
      <c r="I1079" t="s">
        <v>3</v>
      </c>
      <c r="J1079">
        <v>3</v>
      </c>
      <c r="K1079" t="s">
        <v>4</v>
      </c>
      <c r="L1079" t="s">
        <v>88</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5">
      <c r="A1080" t="s">
        <v>1162</v>
      </c>
      <c r="B1080" t="s">
        <v>11</v>
      </c>
      <c r="C1080">
        <v>3</v>
      </c>
      <c r="D1080">
        <v>208.6</v>
      </c>
      <c r="E1080">
        <v>625.79999999999995</v>
      </c>
      <c r="F1080" s="1">
        <v>45700</v>
      </c>
      <c r="G1080" s="1">
        <v>45700</v>
      </c>
      <c r="H1080" t="s">
        <v>8</v>
      </c>
      <c r="I1080" t="s">
        <v>55</v>
      </c>
      <c r="J1080">
        <v>5</v>
      </c>
      <c r="K1080" t="s">
        <v>4</v>
      </c>
      <c r="L1080" t="s">
        <v>88</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5">
      <c r="A1081" t="s">
        <v>1163</v>
      </c>
      <c r="B1081" t="s">
        <v>108</v>
      </c>
      <c r="C1081">
        <v>3</v>
      </c>
      <c r="D1081">
        <v>27.8</v>
      </c>
      <c r="E1081">
        <v>83.4</v>
      </c>
      <c r="F1081" s="1">
        <v>45700</v>
      </c>
      <c r="G1081" s="1">
        <v>45701</v>
      </c>
      <c r="H1081" t="s">
        <v>8</v>
      </c>
      <c r="I1081" t="s">
        <v>36</v>
      </c>
      <c r="J1081">
        <v>3</v>
      </c>
      <c r="K1081" t="s">
        <v>4</v>
      </c>
      <c r="L1081" t="s">
        <v>62</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5">
      <c r="A1082" t="s">
        <v>1164</v>
      </c>
      <c r="B1082" t="s">
        <v>39</v>
      </c>
      <c r="C1082">
        <v>5</v>
      </c>
      <c r="D1082">
        <v>29.4</v>
      </c>
      <c r="E1082">
        <v>147</v>
      </c>
      <c r="F1082" s="1">
        <v>45700</v>
      </c>
      <c r="G1082" s="1">
        <v>45702</v>
      </c>
      <c r="H1082" t="s">
        <v>12</v>
      </c>
      <c r="I1082" t="s">
        <v>3</v>
      </c>
      <c r="J1082">
        <v>4</v>
      </c>
      <c r="K1082" t="s">
        <v>4</v>
      </c>
      <c r="L1082" t="s">
        <v>62</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5">
      <c r="A1083" t="s">
        <v>1165</v>
      </c>
      <c r="B1083" t="s">
        <v>31</v>
      </c>
      <c r="C1083">
        <v>2</v>
      </c>
      <c r="D1083">
        <v>29.2</v>
      </c>
      <c r="E1083">
        <v>58.4</v>
      </c>
      <c r="F1083" s="1">
        <v>45700</v>
      </c>
      <c r="G1083" s="1">
        <v>45702</v>
      </c>
      <c r="H1083" t="s">
        <v>12</v>
      </c>
      <c r="I1083" t="s">
        <v>20</v>
      </c>
      <c r="J1083">
        <v>5</v>
      </c>
      <c r="K1083" t="s">
        <v>4</v>
      </c>
      <c r="L1083" t="s">
        <v>98</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5">
      <c r="A1084" t="s">
        <v>1166</v>
      </c>
      <c r="B1084" t="s">
        <v>39</v>
      </c>
      <c r="C1084">
        <v>5</v>
      </c>
      <c r="D1084">
        <v>26.5</v>
      </c>
      <c r="E1084">
        <v>132.5</v>
      </c>
      <c r="F1084" s="1">
        <v>45700</v>
      </c>
      <c r="G1084" s="1">
        <v>45702</v>
      </c>
      <c r="H1084" t="s">
        <v>12</v>
      </c>
      <c r="I1084" t="s">
        <v>3</v>
      </c>
      <c r="J1084">
        <v>4</v>
      </c>
      <c r="K1084" t="s">
        <v>4</v>
      </c>
      <c r="L1084" t="s">
        <v>982</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5">
      <c r="A1085" t="s">
        <v>1167</v>
      </c>
      <c r="B1085" t="s">
        <v>22</v>
      </c>
      <c r="C1085">
        <v>1</v>
      </c>
      <c r="D1085">
        <v>30.3</v>
      </c>
      <c r="E1085">
        <v>30.3</v>
      </c>
      <c r="F1085" s="1">
        <v>45700</v>
      </c>
      <c r="G1085" s="1">
        <v>45701</v>
      </c>
      <c r="H1085" t="s">
        <v>12</v>
      </c>
      <c r="I1085" t="s">
        <v>55</v>
      </c>
      <c r="J1085">
        <v>3</v>
      </c>
      <c r="K1085" t="s">
        <v>4</v>
      </c>
      <c r="L1085" t="s">
        <v>67</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5">
      <c r="A1086" t="s">
        <v>1168</v>
      </c>
      <c r="B1086" t="s">
        <v>113</v>
      </c>
      <c r="C1086">
        <v>12</v>
      </c>
      <c r="D1086">
        <v>39.700000000000003</v>
      </c>
      <c r="E1086">
        <v>476.40000000000003</v>
      </c>
      <c r="F1086" s="1">
        <v>45700</v>
      </c>
      <c r="G1086" s="1">
        <v>45701</v>
      </c>
      <c r="H1086" t="s">
        <v>12</v>
      </c>
      <c r="I1086" t="s">
        <v>3</v>
      </c>
      <c r="J1086">
        <v>4</v>
      </c>
      <c r="K1086" t="s">
        <v>4</v>
      </c>
      <c r="L1086" t="s">
        <v>100</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5">
      <c r="A1087" t="s">
        <v>1169</v>
      </c>
      <c r="B1087" t="s">
        <v>27</v>
      </c>
      <c r="C1087">
        <v>10</v>
      </c>
      <c r="D1087">
        <v>58.9</v>
      </c>
      <c r="E1087">
        <v>589</v>
      </c>
      <c r="F1087" s="1">
        <v>45700</v>
      </c>
      <c r="G1087" s="1">
        <v>45702</v>
      </c>
      <c r="H1087" t="s">
        <v>12</v>
      </c>
      <c r="I1087" t="s">
        <v>20</v>
      </c>
      <c r="J1087">
        <v>2</v>
      </c>
      <c r="K1087" t="s">
        <v>4</v>
      </c>
      <c r="L1087" t="s">
        <v>100</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5">
      <c r="A1088" t="s">
        <v>1170</v>
      </c>
      <c r="B1088" t="s">
        <v>11</v>
      </c>
      <c r="C1088">
        <v>2</v>
      </c>
      <c r="D1088">
        <v>174.1</v>
      </c>
      <c r="E1088">
        <v>348.2</v>
      </c>
      <c r="F1088" s="1">
        <v>45700</v>
      </c>
      <c r="G1088" s="1">
        <v>45702</v>
      </c>
      <c r="H1088" t="s">
        <v>12</v>
      </c>
      <c r="I1088" t="s">
        <v>3</v>
      </c>
      <c r="J1088">
        <v>3</v>
      </c>
      <c r="K1088" t="s">
        <v>4</v>
      </c>
      <c r="L1088" t="s">
        <v>626</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5">
      <c r="A1089" t="s">
        <v>1171</v>
      </c>
      <c r="B1089" t="s">
        <v>24</v>
      </c>
      <c r="C1089">
        <v>2</v>
      </c>
      <c r="D1089">
        <v>70.8</v>
      </c>
      <c r="E1089">
        <v>141.6</v>
      </c>
      <c r="F1089" s="1">
        <v>45700</v>
      </c>
      <c r="G1089" s="1">
        <v>45703</v>
      </c>
      <c r="H1089" t="s">
        <v>8</v>
      </c>
      <c r="I1089" t="s">
        <v>25</v>
      </c>
      <c r="J1089">
        <v>4</v>
      </c>
      <c r="K1089" t="s">
        <v>4</v>
      </c>
      <c r="L1089" t="s">
        <v>132</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5">
      <c r="A1090" t="s">
        <v>1172</v>
      </c>
      <c r="B1090" t="s">
        <v>27</v>
      </c>
      <c r="C1090">
        <v>2</v>
      </c>
      <c r="D1090">
        <v>57.4</v>
      </c>
      <c r="E1090">
        <v>114.8</v>
      </c>
      <c r="F1090" s="1">
        <v>45700</v>
      </c>
      <c r="G1090" s="1">
        <v>45702</v>
      </c>
      <c r="H1090" t="s">
        <v>12</v>
      </c>
      <c r="I1090" t="s">
        <v>20</v>
      </c>
      <c r="J1090">
        <v>3</v>
      </c>
      <c r="K1090" t="s">
        <v>4</v>
      </c>
      <c r="L1090" t="s">
        <v>319</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5">
      <c r="A1091" t="s">
        <v>1173</v>
      </c>
      <c r="B1091" t="s">
        <v>1</v>
      </c>
      <c r="C1091">
        <v>2</v>
      </c>
      <c r="D1091">
        <v>28.5</v>
      </c>
      <c r="E1091">
        <v>57</v>
      </c>
      <c r="F1091" s="1">
        <v>45700</v>
      </c>
      <c r="G1091" s="1">
        <v>45702</v>
      </c>
      <c r="H1091" t="s">
        <v>8</v>
      </c>
      <c r="I1091" t="s">
        <v>36</v>
      </c>
      <c r="J1091">
        <v>3</v>
      </c>
      <c r="K1091" t="s">
        <v>4</v>
      </c>
      <c r="L1091" t="s">
        <v>18</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5">
      <c r="A1092" t="s">
        <v>1174</v>
      </c>
      <c r="B1092" t="s">
        <v>11</v>
      </c>
      <c r="C1092">
        <v>20</v>
      </c>
      <c r="D1092">
        <v>106.6</v>
      </c>
      <c r="E1092">
        <v>2132</v>
      </c>
      <c r="F1092" s="1">
        <v>45700</v>
      </c>
      <c r="G1092" s="1">
        <v>45701</v>
      </c>
      <c r="H1092" t="s">
        <v>2</v>
      </c>
      <c r="I1092" t="s">
        <v>20</v>
      </c>
      <c r="J1092">
        <v>2</v>
      </c>
      <c r="K1092" t="s">
        <v>4</v>
      </c>
      <c r="L1092" t="s">
        <v>18</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5">
      <c r="A1093" t="s">
        <v>1175</v>
      </c>
      <c r="B1093" t="s">
        <v>11</v>
      </c>
      <c r="C1093">
        <v>3</v>
      </c>
      <c r="D1093">
        <v>119.7</v>
      </c>
      <c r="E1093">
        <v>359.1</v>
      </c>
      <c r="F1093" s="1">
        <v>45700</v>
      </c>
      <c r="G1093" s="1">
        <v>45701</v>
      </c>
      <c r="H1093" t="s">
        <v>12</v>
      </c>
      <c r="I1093" t="s">
        <v>20</v>
      </c>
      <c r="J1093">
        <v>2</v>
      </c>
      <c r="K1093" t="s">
        <v>4</v>
      </c>
      <c r="L1093" t="s">
        <v>18</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5">
      <c r="A1094" t="s">
        <v>1176</v>
      </c>
      <c r="B1094" t="s">
        <v>131</v>
      </c>
      <c r="C1094">
        <v>1</v>
      </c>
      <c r="D1094">
        <v>73.3</v>
      </c>
      <c r="E1094">
        <v>73.3</v>
      </c>
      <c r="F1094" s="1">
        <v>45700</v>
      </c>
      <c r="G1094" s="1">
        <v>45705</v>
      </c>
      <c r="H1094" t="s">
        <v>12</v>
      </c>
      <c r="I1094" t="s">
        <v>3</v>
      </c>
      <c r="J1094">
        <v>5</v>
      </c>
      <c r="K1094" t="s">
        <v>4</v>
      </c>
      <c r="L1094" t="s">
        <v>18</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5">
      <c r="A1095" t="s">
        <v>1177</v>
      </c>
      <c r="B1095" t="s">
        <v>1</v>
      </c>
      <c r="C1095">
        <v>2</v>
      </c>
      <c r="D1095">
        <v>25.8</v>
      </c>
      <c r="E1095">
        <v>51.6</v>
      </c>
      <c r="F1095" s="1">
        <v>45700</v>
      </c>
      <c r="G1095" s="1">
        <v>45714</v>
      </c>
      <c r="H1095" t="s">
        <v>8</v>
      </c>
      <c r="I1095" t="s">
        <v>25</v>
      </c>
      <c r="J1095">
        <v>4</v>
      </c>
      <c r="K1095" t="s">
        <v>4</v>
      </c>
      <c r="L1095" t="s">
        <v>18</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5">
      <c r="A1096" t="s">
        <v>1178</v>
      </c>
      <c r="B1096" t="s">
        <v>120</v>
      </c>
      <c r="C1096">
        <v>3</v>
      </c>
      <c r="D1096">
        <v>49.1</v>
      </c>
      <c r="E1096">
        <v>147.30000000000001</v>
      </c>
      <c r="F1096" s="1">
        <v>45700</v>
      </c>
      <c r="G1096" s="1">
        <v>45702</v>
      </c>
      <c r="H1096" t="s">
        <v>12</v>
      </c>
      <c r="I1096" t="s">
        <v>3</v>
      </c>
      <c r="J1096">
        <v>4</v>
      </c>
      <c r="K1096" t="s">
        <v>4</v>
      </c>
      <c r="L1096" t="s">
        <v>171</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5">
      <c r="A1097" t="s">
        <v>1179</v>
      </c>
      <c r="B1097" t="s">
        <v>7</v>
      </c>
      <c r="C1097">
        <v>1</v>
      </c>
      <c r="D1097">
        <v>44.9</v>
      </c>
      <c r="E1097">
        <v>44.9</v>
      </c>
      <c r="F1097" s="1">
        <v>45700</v>
      </c>
      <c r="G1097" s="1">
        <v>45703</v>
      </c>
      <c r="H1097" t="s">
        <v>12</v>
      </c>
      <c r="I1097" t="s">
        <v>36</v>
      </c>
      <c r="J1097">
        <v>5</v>
      </c>
      <c r="K1097" t="s">
        <v>4</v>
      </c>
      <c r="L1097" t="s">
        <v>40</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5">
      <c r="A1098" t="s">
        <v>1180</v>
      </c>
      <c r="B1098" t="s">
        <v>108</v>
      </c>
      <c r="C1098">
        <v>7</v>
      </c>
      <c r="D1098">
        <v>29.9</v>
      </c>
      <c r="E1098">
        <v>209.29999999999998</v>
      </c>
      <c r="F1098" s="1">
        <v>45700</v>
      </c>
      <c r="G1098" s="1">
        <v>45701</v>
      </c>
      <c r="H1098" t="s">
        <v>12</v>
      </c>
      <c r="I1098" t="s">
        <v>3</v>
      </c>
      <c r="J1098">
        <v>4</v>
      </c>
      <c r="K1098" t="s">
        <v>4</v>
      </c>
      <c r="L1098" t="s">
        <v>40</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5">
      <c r="A1099" t="s">
        <v>1181</v>
      </c>
      <c r="B1099" t="s">
        <v>27</v>
      </c>
      <c r="C1099">
        <v>2</v>
      </c>
      <c r="D1099">
        <v>54.3</v>
      </c>
      <c r="E1099">
        <v>108.6</v>
      </c>
      <c r="F1099" s="1">
        <v>45701</v>
      </c>
      <c r="G1099" s="1">
        <v>45702</v>
      </c>
      <c r="H1099" t="s">
        <v>8</v>
      </c>
      <c r="I1099" t="s">
        <v>36</v>
      </c>
      <c r="J1099">
        <v>4</v>
      </c>
      <c r="K1099" t="s">
        <v>4</v>
      </c>
      <c r="L1099" t="s">
        <v>327</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5">
      <c r="A1100" t="s">
        <v>1182</v>
      </c>
      <c r="B1100" t="s">
        <v>31</v>
      </c>
      <c r="C1100">
        <v>4</v>
      </c>
      <c r="D1100">
        <v>57</v>
      </c>
      <c r="E1100">
        <v>228</v>
      </c>
      <c r="F1100" s="1">
        <v>45701</v>
      </c>
      <c r="G1100" s="1">
        <v>45703</v>
      </c>
      <c r="H1100" t="s">
        <v>12</v>
      </c>
      <c r="I1100" t="s">
        <v>3</v>
      </c>
      <c r="J1100">
        <v>4</v>
      </c>
      <c r="K1100" t="s">
        <v>4</v>
      </c>
      <c r="L1100" t="s">
        <v>47</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5">
      <c r="A1101" t="s">
        <v>1183</v>
      </c>
      <c r="B1101" t="s">
        <v>11</v>
      </c>
      <c r="C1101">
        <v>1</v>
      </c>
      <c r="D1101">
        <v>139.19999999999999</v>
      </c>
      <c r="E1101">
        <v>139.19999999999999</v>
      </c>
      <c r="F1101" s="1">
        <v>45701</v>
      </c>
      <c r="G1101" s="1">
        <v>45702</v>
      </c>
      <c r="H1101" t="s">
        <v>12</v>
      </c>
      <c r="I1101" t="s">
        <v>36</v>
      </c>
      <c r="J1101">
        <v>5</v>
      </c>
      <c r="K1101" t="s">
        <v>4</v>
      </c>
      <c r="L1101" t="s">
        <v>47</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5">
      <c r="A1102" t="s">
        <v>1184</v>
      </c>
      <c r="B1102" t="s">
        <v>39</v>
      </c>
      <c r="C1102">
        <v>1</v>
      </c>
      <c r="D1102">
        <v>33</v>
      </c>
      <c r="E1102">
        <v>33</v>
      </c>
      <c r="F1102" s="1">
        <v>45701</v>
      </c>
      <c r="G1102" s="1">
        <v>45704</v>
      </c>
      <c r="H1102" t="s">
        <v>12</v>
      </c>
      <c r="I1102" t="s">
        <v>3</v>
      </c>
      <c r="J1102">
        <v>5</v>
      </c>
      <c r="K1102" t="s">
        <v>4</v>
      </c>
      <c r="L1102" t="s">
        <v>47</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5">
      <c r="A1103" t="s">
        <v>1185</v>
      </c>
      <c r="B1103" t="s">
        <v>52</v>
      </c>
      <c r="C1103">
        <v>6</v>
      </c>
      <c r="D1103">
        <v>80.2</v>
      </c>
      <c r="E1103">
        <v>481.20000000000005</v>
      </c>
      <c r="F1103" s="1">
        <v>45701</v>
      </c>
      <c r="G1103" s="1">
        <v>45703</v>
      </c>
      <c r="H1103" t="s">
        <v>8</v>
      </c>
      <c r="I1103" t="s">
        <v>20</v>
      </c>
      <c r="J1103">
        <v>2</v>
      </c>
      <c r="K1103" t="s">
        <v>4</v>
      </c>
      <c r="L1103" t="s">
        <v>47</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5">
      <c r="A1104" t="s">
        <v>1186</v>
      </c>
      <c r="B1104" t="s">
        <v>131</v>
      </c>
      <c r="C1104">
        <v>8</v>
      </c>
      <c r="D1104">
        <v>49</v>
      </c>
      <c r="E1104">
        <v>392</v>
      </c>
      <c r="F1104" s="1">
        <v>45701</v>
      </c>
      <c r="G1104" s="1">
        <v>45702</v>
      </c>
      <c r="H1104" t="s">
        <v>2</v>
      </c>
      <c r="I1104" t="s">
        <v>25</v>
      </c>
      <c r="J1104">
        <v>3</v>
      </c>
      <c r="K1104" t="s">
        <v>4</v>
      </c>
      <c r="L1104" t="s">
        <v>57</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5">
      <c r="A1105" t="s">
        <v>1187</v>
      </c>
      <c r="B1105" t="s">
        <v>7</v>
      </c>
      <c r="C1105">
        <v>4</v>
      </c>
      <c r="D1105">
        <v>104.4</v>
      </c>
      <c r="E1105">
        <v>417.6</v>
      </c>
      <c r="F1105" s="1">
        <v>45701</v>
      </c>
      <c r="G1105" s="1">
        <v>45701</v>
      </c>
      <c r="H1105" t="s">
        <v>12</v>
      </c>
      <c r="I1105" t="s">
        <v>3</v>
      </c>
      <c r="J1105">
        <v>4</v>
      </c>
      <c r="K1105" t="s">
        <v>4</v>
      </c>
      <c r="L1105" t="s">
        <v>57</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5">
      <c r="A1106" t="s">
        <v>1188</v>
      </c>
      <c r="B1106" t="s">
        <v>15</v>
      </c>
      <c r="C1106">
        <v>1</v>
      </c>
      <c r="D1106">
        <v>41.6</v>
      </c>
      <c r="E1106">
        <v>41.6</v>
      </c>
      <c r="F1106" s="1">
        <v>45701</v>
      </c>
      <c r="G1106" s="1">
        <v>45704</v>
      </c>
      <c r="H1106" t="s">
        <v>8</v>
      </c>
      <c r="I1106" t="s">
        <v>36</v>
      </c>
      <c r="J1106">
        <v>4</v>
      </c>
      <c r="K1106" t="s">
        <v>4</v>
      </c>
      <c r="L1106" t="s">
        <v>62</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5">
      <c r="A1107" t="s">
        <v>1189</v>
      </c>
      <c r="B1107" t="s">
        <v>156</v>
      </c>
      <c r="C1107">
        <v>2</v>
      </c>
      <c r="D1107">
        <v>16.399999999999999</v>
      </c>
      <c r="E1107">
        <v>32.799999999999997</v>
      </c>
      <c r="F1107" s="1">
        <v>45701</v>
      </c>
      <c r="G1107" s="1">
        <v>45702</v>
      </c>
      <c r="H1107" t="s">
        <v>74</v>
      </c>
      <c r="I1107" t="s">
        <v>3</v>
      </c>
      <c r="J1107">
        <v>5</v>
      </c>
      <c r="K1107" t="s">
        <v>4</v>
      </c>
      <c r="L1107" t="s">
        <v>62</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5">
      <c r="A1108" t="s">
        <v>1190</v>
      </c>
      <c r="B1108" t="s">
        <v>29</v>
      </c>
      <c r="C1108">
        <v>2</v>
      </c>
      <c r="D1108">
        <v>22</v>
      </c>
      <c r="E1108">
        <v>44</v>
      </c>
      <c r="F1108" s="1">
        <v>45701</v>
      </c>
      <c r="G1108" s="1">
        <v>45702</v>
      </c>
      <c r="H1108" t="s">
        <v>8</v>
      </c>
      <c r="I1108" t="s">
        <v>25</v>
      </c>
      <c r="J1108">
        <v>5</v>
      </c>
      <c r="K1108" t="s">
        <v>4</v>
      </c>
      <c r="L1108" t="s">
        <v>1101</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5">
      <c r="A1109" t="s">
        <v>1191</v>
      </c>
      <c r="B1109" t="s">
        <v>108</v>
      </c>
      <c r="C1109">
        <v>2</v>
      </c>
      <c r="D1109">
        <v>33.6</v>
      </c>
      <c r="E1109">
        <v>67.2</v>
      </c>
      <c r="F1109" s="1">
        <v>45701</v>
      </c>
      <c r="G1109" s="1">
        <v>45706</v>
      </c>
      <c r="H1109" t="s">
        <v>12</v>
      </c>
      <c r="I1109" t="s">
        <v>3</v>
      </c>
      <c r="J1109">
        <v>4</v>
      </c>
      <c r="K1109" t="s">
        <v>4</v>
      </c>
      <c r="L1109" t="s">
        <v>100</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5">
      <c r="A1110" t="s">
        <v>1192</v>
      </c>
      <c r="B1110" t="s">
        <v>52</v>
      </c>
      <c r="C1110">
        <v>6</v>
      </c>
      <c r="D1110">
        <v>43</v>
      </c>
      <c r="E1110">
        <v>258</v>
      </c>
      <c r="F1110" s="1">
        <v>45701</v>
      </c>
      <c r="G1110" s="1">
        <v>45702</v>
      </c>
      <c r="H1110" t="s">
        <v>12</v>
      </c>
      <c r="I1110" t="s">
        <v>25</v>
      </c>
      <c r="J1110">
        <v>4</v>
      </c>
      <c r="K1110" t="s">
        <v>4</v>
      </c>
      <c r="L1110" t="s">
        <v>100</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5">
      <c r="A1111" t="s">
        <v>1193</v>
      </c>
      <c r="B1111" t="s">
        <v>24</v>
      </c>
      <c r="C1111">
        <v>5</v>
      </c>
      <c r="D1111">
        <v>108.8</v>
      </c>
      <c r="E1111">
        <v>544</v>
      </c>
      <c r="F1111" s="1">
        <v>45701</v>
      </c>
      <c r="G1111" s="1">
        <v>45704</v>
      </c>
      <c r="H1111" t="s">
        <v>12</v>
      </c>
      <c r="I1111" t="s">
        <v>55</v>
      </c>
      <c r="J1111">
        <v>5</v>
      </c>
      <c r="K1111" t="s">
        <v>4</v>
      </c>
      <c r="L1111" t="s">
        <v>100</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5">
      <c r="A1112" t="s">
        <v>1194</v>
      </c>
      <c r="B1112" t="s">
        <v>1</v>
      </c>
      <c r="C1112">
        <v>9</v>
      </c>
      <c r="D1112">
        <v>29.3</v>
      </c>
      <c r="E1112">
        <v>263.7</v>
      </c>
      <c r="F1112" s="1">
        <v>45701</v>
      </c>
      <c r="G1112" s="1">
        <v>45703</v>
      </c>
      <c r="H1112" t="s">
        <v>8</v>
      </c>
      <c r="I1112" t="s">
        <v>55</v>
      </c>
      <c r="J1112">
        <v>5</v>
      </c>
      <c r="K1112" t="s">
        <v>4</v>
      </c>
      <c r="L1112" t="s">
        <v>100</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5">
      <c r="A1113" t="s">
        <v>1195</v>
      </c>
      <c r="B1113" t="s">
        <v>11</v>
      </c>
      <c r="C1113">
        <v>1</v>
      </c>
      <c r="D1113">
        <v>122.7</v>
      </c>
      <c r="E1113">
        <v>122.7</v>
      </c>
      <c r="F1113" s="1">
        <v>45701</v>
      </c>
      <c r="G1113" s="1">
        <v>45704</v>
      </c>
      <c r="H1113" t="s">
        <v>74</v>
      </c>
      <c r="I1113" t="s">
        <v>3</v>
      </c>
      <c r="J1113">
        <v>5</v>
      </c>
      <c r="K1113" t="s">
        <v>4</v>
      </c>
      <c r="L1113" t="s">
        <v>9</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5">
      <c r="A1114" t="s">
        <v>1196</v>
      </c>
      <c r="B1114" t="s">
        <v>17</v>
      </c>
      <c r="C1114">
        <v>7</v>
      </c>
      <c r="D1114">
        <v>22.9</v>
      </c>
      <c r="E1114">
        <v>160.29999999999998</v>
      </c>
      <c r="F1114" s="1">
        <v>45701</v>
      </c>
      <c r="G1114" s="1">
        <v>45702</v>
      </c>
      <c r="H1114" t="s">
        <v>12</v>
      </c>
      <c r="I1114" t="s">
        <v>3</v>
      </c>
      <c r="J1114">
        <v>4</v>
      </c>
      <c r="K1114" t="s">
        <v>4</v>
      </c>
      <c r="L1114" t="s">
        <v>422</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5">
      <c r="A1115" t="s">
        <v>1197</v>
      </c>
      <c r="B1115" t="s">
        <v>29</v>
      </c>
      <c r="C1115">
        <v>10</v>
      </c>
      <c r="D1115">
        <v>25.5</v>
      </c>
      <c r="E1115">
        <v>255</v>
      </c>
      <c r="F1115" s="1">
        <v>45701</v>
      </c>
      <c r="G1115" s="1">
        <v>45708</v>
      </c>
      <c r="H1115" t="s">
        <v>12</v>
      </c>
      <c r="I1115" t="s">
        <v>3</v>
      </c>
      <c r="J1115">
        <v>4</v>
      </c>
      <c r="K1115" t="s">
        <v>4</v>
      </c>
      <c r="L1115" t="s">
        <v>316</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5">
      <c r="A1116" t="s">
        <v>1198</v>
      </c>
      <c r="B1116" t="s">
        <v>120</v>
      </c>
      <c r="C1116">
        <v>3</v>
      </c>
      <c r="D1116">
        <v>23.4</v>
      </c>
      <c r="E1116">
        <v>70.199999999999989</v>
      </c>
      <c r="F1116" s="1">
        <v>45701</v>
      </c>
      <c r="G1116" s="1">
        <v>45705</v>
      </c>
      <c r="H1116" t="s">
        <v>12</v>
      </c>
      <c r="I1116" t="s">
        <v>3</v>
      </c>
      <c r="J1116">
        <v>5</v>
      </c>
      <c r="K1116" t="s">
        <v>4</v>
      </c>
      <c r="L1116" t="s">
        <v>18</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5">
      <c r="A1117" t="s">
        <v>1199</v>
      </c>
      <c r="B1117" t="s">
        <v>22</v>
      </c>
      <c r="C1117">
        <v>8</v>
      </c>
      <c r="D1117">
        <v>27.4</v>
      </c>
      <c r="E1117">
        <v>219.2</v>
      </c>
      <c r="F1117" s="1">
        <v>45701</v>
      </c>
      <c r="G1117" s="1">
        <v>45704</v>
      </c>
      <c r="H1117" t="s">
        <v>12</v>
      </c>
      <c r="I1117" t="s">
        <v>25</v>
      </c>
      <c r="J1117">
        <v>4</v>
      </c>
      <c r="K1117" t="s">
        <v>4</v>
      </c>
      <c r="L1117" t="s">
        <v>18</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5">
      <c r="A1118" t="s">
        <v>1200</v>
      </c>
      <c r="B1118" t="s">
        <v>22</v>
      </c>
      <c r="C1118">
        <v>5</v>
      </c>
      <c r="D1118">
        <v>68.400000000000006</v>
      </c>
      <c r="E1118">
        <v>342</v>
      </c>
      <c r="F1118" s="1">
        <v>45701</v>
      </c>
      <c r="G1118" s="1">
        <v>45702</v>
      </c>
      <c r="H1118" t="s">
        <v>12</v>
      </c>
      <c r="I1118" t="s">
        <v>3</v>
      </c>
      <c r="J1118">
        <v>4</v>
      </c>
      <c r="K1118" t="s">
        <v>4</v>
      </c>
      <c r="L1118" t="s">
        <v>18</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5">
      <c r="A1119" t="s">
        <v>1201</v>
      </c>
      <c r="B1119" t="s">
        <v>24</v>
      </c>
      <c r="C1119">
        <v>1</v>
      </c>
      <c r="D1119">
        <v>51.9</v>
      </c>
      <c r="E1119">
        <v>51.9</v>
      </c>
      <c r="F1119" s="1">
        <v>45701</v>
      </c>
      <c r="G1119" s="1">
        <v>45701</v>
      </c>
      <c r="H1119" t="s">
        <v>12</v>
      </c>
      <c r="I1119" t="s">
        <v>3</v>
      </c>
      <c r="J1119">
        <v>4</v>
      </c>
      <c r="K1119" t="s">
        <v>4</v>
      </c>
      <c r="L1119" t="s">
        <v>18</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5">
      <c r="A1120" t="s">
        <v>1202</v>
      </c>
      <c r="B1120" t="s">
        <v>1</v>
      </c>
      <c r="C1120">
        <v>5</v>
      </c>
      <c r="D1120">
        <v>26.4</v>
      </c>
      <c r="E1120">
        <v>132</v>
      </c>
      <c r="F1120" s="1">
        <v>45701</v>
      </c>
      <c r="G1120" s="1">
        <v>45704</v>
      </c>
      <c r="H1120" t="s">
        <v>12</v>
      </c>
      <c r="I1120" t="s">
        <v>3</v>
      </c>
      <c r="J1120">
        <v>5</v>
      </c>
      <c r="K1120" t="s">
        <v>4</v>
      </c>
      <c r="L1120" t="s">
        <v>18</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5">
      <c r="A1121" t="s">
        <v>1203</v>
      </c>
      <c r="B1121" t="s">
        <v>54</v>
      </c>
      <c r="C1121">
        <v>2</v>
      </c>
      <c r="D1121">
        <v>117</v>
      </c>
      <c r="E1121">
        <v>234</v>
      </c>
      <c r="F1121" s="1">
        <v>45701</v>
      </c>
      <c r="G1121" s="1">
        <v>45702</v>
      </c>
      <c r="H1121" t="s">
        <v>12</v>
      </c>
      <c r="I1121" t="s">
        <v>20</v>
      </c>
      <c r="J1121">
        <v>3</v>
      </c>
      <c r="K1121" t="s">
        <v>4</v>
      </c>
      <c r="L1121" t="s">
        <v>18</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5">
      <c r="A1122" t="s">
        <v>1204</v>
      </c>
      <c r="B1122" t="s">
        <v>27</v>
      </c>
      <c r="C1122">
        <v>3</v>
      </c>
      <c r="D1122">
        <v>49.6</v>
      </c>
      <c r="E1122">
        <v>148.80000000000001</v>
      </c>
      <c r="F1122" s="1">
        <v>45702</v>
      </c>
      <c r="G1122" s="1">
        <v>45704</v>
      </c>
      <c r="H1122" t="s">
        <v>12</v>
      </c>
      <c r="I1122" t="s">
        <v>3</v>
      </c>
      <c r="J1122">
        <v>4</v>
      </c>
      <c r="K1122" t="s">
        <v>4</v>
      </c>
      <c r="L1122" t="s">
        <v>18</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5">
      <c r="A1123" t="s">
        <v>1205</v>
      </c>
      <c r="B1123" t="s">
        <v>17</v>
      </c>
      <c r="C1123">
        <v>3</v>
      </c>
      <c r="D1123">
        <v>38</v>
      </c>
      <c r="E1123">
        <v>114</v>
      </c>
      <c r="F1123" s="1">
        <v>45702</v>
      </c>
      <c r="G1123" s="1">
        <v>45705</v>
      </c>
      <c r="H1123" t="s">
        <v>8</v>
      </c>
      <c r="I1123" t="s">
        <v>25</v>
      </c>
      <c r="J1123">
        <v>2</v>
      </c>
      <c r="K1123" t="s">
        <v>4</v>
      </c>
      <c r="L1123" t="s">
        <v>18</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5">
      <c r="A1124" t="s">
        <v>1206</v>
      </c>
      <c r="B1124" t="s">
        <v>1</v>
      </c>
      <c r="C1124">
        <v>3</v>
      </c>
      <c r="D1124">
        <v>20.6</v>
      </c>
      <c r="E1124">
        <v>61.800000000000004</v>
      </c>
      <c r="F1124" s="1">
        <v>45702</v>
      </c>
      <c r="G1124" s="1">
        <v>45704</v>
      </c>
      <c r="H1124" t="s">
        <v>12</v>
      </c>
      <c r="I1124" t="s">
        <v>55</v>
      </c>
      <c r="J1124">
        <v>5</v>
      </c>
      <c r="K1124" t="s">
        <v>4</v>
      </c>
      <c r="L1124" t="s">
        <v>18</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5">
      <c r="A1125" t="s">
        <v>1207</v>
      </c>
      <c r="B1125" t="s">
        <v>1</v>
      </c>
      <c r="C1125">
        <v>2</v>
      </c>
      <c r="D1125">
        <v>16</v>
      </c>
      <c r="E1125">
        <v>32</v>
      </c>
      <c r="F1125" s="1">
        <v>45702</v>
      </c>
      <c r="G1125" s="1">
        <v>45703</v>
      </c>
      <c r="H1125" t="s">
        <v>8</v>
      </c>
      <c r="I1125" t="s">
        <v>20</v>
      </c>
      <c r="J1125">
        <v>3</v>
      </c>
      <c r="K1125" t="s">
        <v>4</v>
      </c>
      <c r="L1125" t="s">
        <v>787</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5">
      <c r="A1126" t="s">
        <v>1208</v>
      </c>
      <c r="B1126" t="s">
        <v>108</v>
      </c>
      <c r="C1126">
        <v>4</v>
      </c>
      <c r="D1126">
        <v>49.3</v>
      </c>
      <c r="E1126">
        <v>197.2</v>
      </c>
      <c r="F1126" s="1">
        <v>45702</v>
      </c>
      <c r="G1126" s="1">
        <v>45703</v>
      </c>
      <c r="H1126" t="s">
        <v>12</v>
      </c>
      <c r="I1126" t="s">
        <v>25</v>
      </c>
      <c r="J1126">
        <v>4</v>
      </c>
      <c r="K1126" t="s">
        <v>4</v>
      </c>
      <c r="L1126" t="s">
        <v>143</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5">
      <c r="A1127" t="s">
        <v>1209</v>
      </c>
      <c r="B1127" t="s">
        <v>31</v>
      </c>
      <c r="C1127">
        <v>2</v>
      </c>
      <c r="D1127">
        <v>24.1</v>
      </c>
      <c r="E1127">
        <v>48.2</v>
      </c>
      <c r="F1127" s="1">
        <v>45702</v>
      </c>
      <c r="G1127" s="1">
        <v>45706</v>
      </c>
      <c r="H1127" t="s">
        <v>12</v>
      </c>
      <c r="I1127" t="s">
        <v>3</v>
      </c>
      <c r="J1127">
        <v>4</v>
      </c>
      <c r="K1127" t="s">
        <v>4</v>
      </c>
      <c r="L1127" t="s">
        <v>40</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5">
      <c r="A1128" t="s">
        <v>1210</v>
      </c>
      <c r="B1128" t="s">
        <v>108</v>
      </c>
      <c r="C1128">
        <v>8</v>
      </c>
      <c r="D1128">
        <v>32.700000000000003</v>
      </c>
      <c r="E1128">
        <v>261.60000000000002</v>
      </c>
      <c r="F1128" s="1">
        <v>45702</v>
      </c>
      <c r="G1128" s="1">
        <v>45703</v>
      </c>
      <c r="H1128" t="s">
        <v>12</v>
      </c>
      <c r="I1128" t="s">
        <v>20</v>
      </c>
      <c r="J1128">
        <v>4</v>
      </c>
      <c r="K1128" t="s">
        <v>4</v>
      </c>
      <c r="L1128" t="s">
        <v>40</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5">
      <c r="A1129" t="s">
        <v>1211</v>
      </c>
      <c r="B1129" t="s">
        <v>24</v>
      </c>
      <c r="C1129">
        <v>3</v>
      </c>
      <c r="D1129">
        <v>74.400000000000006</v>
      </c>
      <c r="E1129">
        <v>223.20000000000002</v>
      </c>
      <c r="F1129" s="1">
        <v>45702</v>
      </c>
      <c r="G1129" s="1">
        <v>45703</v>
      </c>
      <c r="H1129" t="s">
        <v>12</v>
      </c>
      <c r="I1129" t="s">
        <v>36</v>
      </c>
      <c r="J1129">
        <v>5</v>
      </c>
      <c r="K1129" t="s">
        <v>4</v>
      </c>
      <c r="L1129" t="s">
        <v>47</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5">
      <c r="A1130" t="s">
        <v>1212</v>
      </c>
      <c r="B1130" t="s">
        <v>54</v>
      </c>
      <c r="C1130">
        <v>1</v>
      </c>
      <c r="D1130">
        <v>45.6</v>
      </c>
      <c r="E1130">
        <v>45.6</v>
      </c>
      <c r="F1130" s="1">
        <v>45702</v>
      </c>
      <c r="G1130" s="1">
        <v>45706</v>
      </c>
      <c r="H1130" t="s">
        <v>12</v>
      </c>
      <c r="I1130" t="s">
        <v>55</v>
      </c>
      <c r="J1130">
        <v>4</v>
      </c>
      <c r="K1130" t="s">
        <v>4</v>
      </c>
      <c r="L1130" t="s">
        <v>47</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5">
      <c r="A1131" t="s">
        <v>1213</v>
      </c>
      <c r="B1131" t="s">
        <v>29</v>
      </c>
      <c r="C1131">
        <v>8</v>
      </c>
      <c r="D1131">
        <v>19.600000000000001</v>
      </c>
      <c r="E1131">
        <v>156.80000000000001</v>
      </c>
      <c r="F1131" s="1">
        <v>45702</v>
      </c>
      <c r="G1131" s="1">
        <v>45715</v>
      </c>
      <c r="H1131" t="s">
        <v>12</v>
      </c>
      <c r="I1131" t="s">
        <v>3</v>
      </c>
      <c r="J1131">
        <v>4</v>
      </c>
      <c r="K1131" t="s">
        <v>4</v>
      </c>
      <c r="L1131" t="s">
        <v>47</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5">
      <c r="A1132" t="s">
        <v>1214</v>
      </c>
      <c r="B1132" t="s">
        <v>31</v>
      </c>
      <c r="C1132">
        <v>1</v>
      </c>
      <c r="D1132">
        <v>51.8</v>
      </c>
      <c r="E1132">
        <v>51.8</v>
      </c>
      <c r="F1132" s="1">
        <v>45702</v>
      </c>
      <c r="G1132" s="1">
        <v>45703</v>
      </c>
      <c r="H1132" t="s">
        <v>12</v>
      </c>
      <c r="I1132" t="s">
        <v>20</v>
      </c>
      <c r="J1132">
        <v>4</v>
      </c>
      <c r="K1132" t="s">
        <v>4</v>
      </c>
      <c r="L1132" t="s">
        <v>47</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5">
      <c r="A1133" t="s">
        <v>1215</v>
      </c>
      <c r="B1133" t="s">
        <v>24</v>
      </c>
      <c r="C1133">
        <v>1</v>
      </c>
      <c r="D1133">
        <v>74.7</v>
      </c>
      <c r="E1133">
        <v>74.7</v>
      </c>
      <c r="F1133" s="1">
        <v>45702</v>
      </c>
      <c r="G1133" s="1">
        <v>45703</v>
      </c>
      <c r="H1133" t="s">
        <v>8</v>
      </c>
      <c r="I1133" t="s">
        <v>3</v>
      </c>
      <c r="J1133">
        <v>3</v>
      </c>
      <c r="K1133" t="s">
        <v>4</v>
      </c>
      <c r="L1133" t="s">
        <v>47</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5">
      <c r="A1134" t="s">
        <v>1216</v>
      </c>
      <c r="B1134" t="s">
        <v>156</v>
      </c>
      <c r="C1134">
        <v>3</v>
      </c>
      <c r="D1134">
        <v>22.4</v>
      </c>
      <c r="E1134">
        <v>67.199999999999989</v>
      </c>
      <c r="F1134" s="1">
        <v>45702</v>
      </c>
      <c r="G1134" s="1">
        <v>45703</v>
      </c>
      <c r="H1134" t="s">
        <v>12</v>
      </c>
      <c r="I1134" t="s">
        <v>20</v>
      </c>
      <c r="J1134">
        <v>5</v>
      </c>
      <c r="K1134" t="s">
        <v>4</v>
      </c>
      <c r="L1134" t="s">
        <v>57</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5">
      <c r="A1135" t="s">
        <v>1217</v>
      </c>
      <c r="B1135" t="s">
        <v>7</v>
      </c>
      <c r="C1135">
        <v>4</v>
      </c>
      <c r="D1135">
        <v>31.4</v>
      </c>
      <c r="E1135">
        <v>125.6</v>
      </c>
      <c r="F1135" s="1">
        <v>45702</v>
      </c>
      <c r="G1135" s="1">
        <v>45703</v>
      </c>
      <c r="H1135" t="s">
        <v>12</v>
      </c>
      <c r="I1135" t="s">
        <v>20</v>
      </c>
      <c r="J1135">
        <v>4</v>
      </c>
      <c r="K1135" t="s">
        <v>4</v>
      </c>
      <c r="L1135" t="s">
        <v>57</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5">
      <c r="A1136" t="s">
        <v>1218</v>
      </c>
      <c r="B1136" t="s">
        <v>24</v>
      </c>
      <c r="C1136">
        <v>1</v>
      </c>
      <c r="D1136">
        <v>94</v>
      </c>
      <c r="E1136">
        <v>94</v>
      </c>
      <c r="F1136" s="1">
        <v>45702</v>
      </c>
      <c r="G1136" s="1">
        <v>45702</v>
      </c>
      <c r="H1136" t="s">
        <v>12</v>
      </c>
      <c r="I1136" t="s">
        <v>20</v>
      </c>
      <c r="J1136">
        <v>5</v>
      </c>
      <c r="K1136" t="s">
        <v>4</v>
      </c>
      <c r="L1136" t="s">
        <v>59</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5">
      <c r="A1137" t="s">
        <v>1219</v>
      </c>
      <c r="B1137" t="s">
        <v>39</v>
      </c>
      <c r="C1137">
        <v>1</v>
      </c>
      <c r="D1137">
        <v>22.3</v>
      </c>
      <c r="E1137">
        <v>22.3</v>
      </c>
      <c r="F1137" s="1">
        <v>45702</v>
      </c>
      <c r="G1137" s="1">
        <v>45703</v>
      </c>
      <c r="H1137" t="s">
        <v>8</v>
      </c>
      <c r="I1137" t="s">
        <v>55</v>
      </c>
      <c r="J1137">
        <v>4</v>
      </c>
      <c r="K1137" t="s">
        <v>4</v>
      </c>
      <c r="L1137" t="s">
        <v>98</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5">
      <c r="A1138" t="s">
        <v>1220</v>
      </c>
      <c r="B1138" t="s">
        <v>1</v>
      </c>
      <c r="C1138">
        <v>1</v>
      </c>
      <c r="D1138">
        <v>21.9</v>
      </c>
      <c r="E1138">
        <v>21.9</v>
      </c>
      <c r="F1138" s="1">
        <v>45702</v>
      </c>
      <c r="G1138" s="1">
        <v>45705</v>
      </c>
      <c r="H1138" t="s">
        <v>12</v>
      </c>
      <c r="I1138" t="s">
        <v>25</v>
      </c>
      <c r="J1138">
        <v>4</v>
      </c>
      <c r="K1138" t="s">
        <v>4</v>
      </c>
      <c r="L1138" t="s">
        <v>100</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5">
      <c r="A1139" t="s">
        <v>1221</v>
      </c>
      <c r="B1139" t="s">
        <v>120</v>
      </c>
      <c r="C1139">
        <v>3</v>
      </c>
      <c r="D1139">
        <v>27</v>
      </c>
      <c r="E1139">
        <v>81</v>
      </c>
      <c r="F1139" s="1">
        <v>45702</v>
      </c>
      <c r="G1139" s="1">
        <v>45704</v>
      </c>
      <c r="H1139" t="s">
        <v>12</v>
      </c>
      <c r="I1139" t="s">
        <v>55</v>
      </c>
      <c r="J1139">
        <v>5</v>
      </c>
      <c r="K1139" t="s">
        <v>4</v>
      </c>
      <c r="L1139" t="s">
        <v>13</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5">
      <c r="A1140" t="s">
        <v>1222</v>
      </c>
      <c r="B1140" t="s">
        <v>11</v>
      </c>
      <c r="C1140">
        <v>4</v>
      </c>
      <c r="D1140">
        <v>149.6</v>
      </c>
      <c r="E1140">
        <v>598.4</v>
      </c>
      <c r="F1140" s="1">
        <v>45702</v>
      </c>
      <c r="G1140" s="1">
        <v>45702</v>
      </c>
      <c r="H1140" t="s">
        <v>12</v>
      </c>
      <c r="I1140" t="s">
        <v>55</v>
      </c>
      <c r="J1140">
        <v>4</v>
      </c>
      <c r="K1140" t="s">
        <v>4</v>
      </c>
      <c r="L1140" t="s">
        <v>132</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5">
      <c r="A1141" t="s">
        <v>1223</v>
      </c>
      <c r="B1141" t="s">
        <v>11</v>
      </c>
      <c r="C1141">
        <v>4</v>
      </c>
      <c r="D1141">
        <v>129.1</v>
      </c>
      <c r="E1141">
        <v>516.4</v>
      </c>
      <c r="F1141" s="1">
        <v>45702</v>
      </c>
      <c r="G1141" s="1">
        <v>45712</v>
      </c>
      <c r="H1141" t="s">
        <v>8</v>
      </c>
      <c r="I1141" t="s">
        <v>3</v>
      </c>
      <c r="J1141">
        <v>3</v>
      </c>
      <c r="K1141" t="s">
        <v>4</v>
      </c>
      <c r="L1141" t="s">
        <v>18</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5">
      <c r="A1142" t="s">
        <v>1224</v>
      </c>
      <c r="B1142" t="s">
        <v>7</v>
      </c>
      <c r="C1142">
        <v>12</v>
      </c>
      <c r="D1142">
        <v>40.4</v>
      </c>
      <c r="E1142">
        <v>484.79999999999995</v>
      </c>
      <c r="F1142" s="1">
        <v>45702</v>
      </c>
      <c r="G1142" s="1">
        <v>45703</v>
      </c>
      <c r="H1142" t="s">
        <v>8</v>
      </c>
      <c r="I1142" t="s">
        <v>20</v>
      </c>
      <c r="J1142">
        <v>3</v>
      </c>
      <c r="K1142" t="s">
        <v>4</v>
      </c>
      <c r="L1142" t="s">
        <v>18</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5">
      <c r="A1143" t="s">
        <v>1225</v>
      </c>
      <c r="B1143" t="s">
        <v>17</v>
      </c>
      <c r="C1143">
        <v>3</v>
      </c>
      <c r="D1143">
        <v>48.5</v>
      </c>
      <c r="E1143">
        <v>145.5</v>
      </c>
      <c r="F1143" s="1">
        <v>45702</v>
      </c>
      <c r="G1143" s="1">
        <v>45704</v>
      </c>
      <c r="H1143" t="s">
        <v>12</v>
      </c>
      <c r="I1143" t="s">
        <v>3</v>
      </c>
      <c r="J1143">
        <v>2</v>
      </c>
      <c r="K1143" t="s">
        <v>4</v>
      </c>
      <c r="L1143" t="s">
        <v>18</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5">
      <c r="A1144" t="s">
        <v>1226</v>
      </c>
      <c r="B1144" t="s">
        <v>31</v>
      </c>
      <c r="C1144">
        <v>2</v>
      </c>
      <c r="D1144">
        <v>37.6</v>
      </c>
      <c r="E1144">
        <v>75.2</v>
      </c>
      <c r="F1144" s="1">
        <v>45702</v>
      </c>
      <c r="G1144" s="1">
        <v>45704</v>
      </c>
      <c r="H1144" t="s">
        <v>12</v>
      </c>
      <c r="I1144" t="s">
        <v>20</v>
      </c>
      <c r="J1144">
        <v>5</v>
      </c>
      <c r="K1144" t="s">
        <v>4</v>
      </c>
      <c r="L1144" t="s">
        <v>18</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5">
      <c r="A1145" t="s">
        <v>1227</v>
      </c>
      <c r="B1145" t="s">
        <v>29</v>
      </c>
      <c r="C1145">
        <v>2</v>
      </c>
      <c r="D1145">
        <v>19.600000000000001</v>
      </c>
      <c r="E1145">
        <v>39.200000000000003</v>
      </c>
      <c r="F1145" s="1">
        <v>45702</v>
      </c>
      <c r="G1145" s="1">
        <v>45703</v>
      </c>
      <c r="H1145" t="s">
        <v>8</v>
      </c>
      <c r="I1145" t="s">
        <v>36</v>
      </c>
      <c r="J1145">
        <v>2</v>
      </c>
      <c r="K1145" t="s">
        <v>4</v>
      </c>
      <c r="L1145" t="s">
        <v>530</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5">
      <c r="A1146" t="s">
        <v>1228</v>
      </c>
      <c r="B1146" t="s">
        <v>29</v>
      </c>
      <c r="C1146">
        <v>5</v>
      </c>
      <c r="D1146">
        <v>18.5</v>
      </c>
      <c r="E1146">
        <v>92.5</v>
      </c>
      <c r="F1146" s="1">
        <v>45702</v>
      </c>
      <c r="G1146" s="1">
        <v>45703</v>
      </c>
      <c r="H1146" t="s">
        <v>12</v>
      </c>
      <c r="I1146" t="s">
        <v>25</v>
      </c>
      <c r="J1146">
        <v>3</v>
      </c>
      <c r="K1146" t="s">
        <v>4</v>
      </c>
      <c r="L1146" t="s">
        <v>40</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5">
      <c r="A1147" t="s">
        <v>1229</v>
      </c>
      <c r="B1147" t="s">
        <v>22</v>
      </c>
      <c r="C1147">
        <v>3</v>
      </c>
      <c r="D1147">
        <v>25.5</v>
      </c>
      <c r="E1147">
        <v>76.5</v>
      </c>
      <c r="F1147" s="1">
        <v>45702</v>
      </c>
      <c r="G1147" s="1">
        <v>45704</v>
      </c>
      <c r="H1147" t="s">
        <v>12</v>
      </c>
      <c r="I1147" t="s">
        <v>55</v>
      </c>
      <c r="J1147">
        <v>3</v>
      </c>
      <c r="K1147" t="s">
        <v>4</v>
      </c>
      <c r="L1147" t="s">
        <v>40</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5">
      <c r="A1148" t="s">
        <v>1230</v>
      </c>
      <c r="B1148" t="s">
        <v>11</v>
      </c>
      <c r="C1148">
        <v>2</v>
      </c>
      <c r="D1148">
        <v>94.7</v>
      </c>
      <c r="E1148">
        <v>189.4</v>
      </c>
      <c r="F1148" s="1">
        <v>45702</v>
      </c>
      <c r="G1148" s="1">
        <v>45703</v>
      </c>
      <c r="H1148" t="s">
        <v>12</v>
      </c>
      <c r="I1148" t="s">
        <v>25</v>
      </c>
      <c r="J1148">
        <v>4</v>
      </c>
      <c r="K1148" t="s">
        <v>4</v>
      </c>
      <c r="L1148" t="s">
        <v>327</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5">
      <c r="A1149" t="s">
        <v>1231</v>
      </c>
      <c r="B1149" t="s">
        <v>7</v>
      </c>
      <c r="C1149">
        <v>6</v>
      </c>
      <c r="D1149">
        <v>38.799999999999997</v>
      </c>
      <c r="E1149">
        <v>232.79999999999998</v>
      </c>
      <c r="F1149" s="1">
        <v>45702</v>
      </c>
      <c r="G1149" s="1">
        <v>45707</v>
      </c>
      <c r="H1149" t="s">
        <v>12</v>
      </c>
      <c r="I1149" t="s">
        <v>25</v>
      </c>
      <c r="J1149">
        <v>5</v>
      </c>
      <c r="K1149" t="s">
        <v>4</v>
      </c>
      <c r="L1149" t="s">
        <v>47</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5">
      <c r="A1150" t="s">
        <v>1232</v>
      </c>
      <c r="B1150" t="s">
        <v>31</v>
      </c>
      <c r="C1150">
        <v>2</v>
      </c>
      <c r="D1150">
        <v>49.4</v>
      </c>
      <c r="E1150">
        <v>98.8</v>
      </c>
      <c r="F1150" s="1">
        <v>45703</v>
      </c>
      <c r="G1150" s="1">
        <v>45711</v>
      </c>
      <c r="H1150" t="s">
        <v>8</v>
      </c>
      <c r="I1150" t="s">
        <v>55</v>
      </c>
      <c r="J1150">
        <v>3</v>
      </c>
      <c r="K1150" t="s">
        <v>4</v>
      </c>
      <c r="L1150" t="s">
        <v>47</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5">
      <c r="A1151" t="s">
        <v>1233</v>
      </c>
      <c r="B1151" t="s">
        <v>27</v>
      </c>
      <c r="C1151">
        <v>3</v>
      </c>
      <c r="D1151">
        <v>68</v>
      </c>
      <c r="E1151">
        <v>204</v>
      </c>
      <c r="F1151" s="1">
        <v>45703</v>
      </c>
      <c r="G1151" s="1">
        <v>45706</v>
      </c>
      <c r="H1151" t="s">
        <v>8</v>
      </c>
      <c r="I1151" t="s">
        <v>3</v>
      </c>
      <c r="J1151">
        <v>5</v>
      </c>
      <c r="K1151" t="s">
        <v>4</v>
      </c>
      <c r="L1151" t="s">
        <v>47</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5">
      <c r="A1152" t="s">
        <v>1234</v>
      </c>
      <c r="B1152" t="s">
        <v>108</v>
      </c>
      <c r="C1152">
        <v>7</v>
      </c>
      <c r="D1152">
        <v>63.7</v>
      </c>
      <c r="E1152">
        <v>445.90000000000003</v>
      </c>
      <c r="F1152" s="1">
        <v>45703</v>
      </c>
      <c r="G1152" s="1">
        <v>45704</v>
      </c>
      <c r="H1152" t="s">
        <v>12</v>
      </c>
      <c r="I1152" t="s">
        <v>25</v>
      </c>
      <c r="J1152">
        <v>5</v>
      </c>
      <c r="K1152" t="s">
        <v>4</v>
      </c>
      <c r="L1152" t="s">
        <v>47</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5">
      <c r="A1153" t="s">
        <v>1235</v>
      </c>
      <c r="B1153" t="s">
        <v>39</v>
      </c>
      <c r="C1153">
        <v>2</v>
      </c>
      <c r="D1153">
        <v>66.2</v>
      </c>
      <c r="E1153">
        <v>132.4</v>
      </c>
      <c r="F1153" s="1">
        <v>45703</v>
      </c>
      <c r="G1153" s="1">
        <v>45704</v>
      </c>
      <c r="H1153" t="s">
        <v>12</v>
      </c>
      <c r="I1153" t="s">
        <v>55</v>
      </c>
      <c r="J1153">
        <v>5</v>
      </c>
      <c r="K1153" t="s">
        <v>4</v>
      </c>
      <c r="L1153" t="s">
        <v>88</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5">
      <c r="A1154" t="s">
        <v>1236</v>
      </c>
      <c r="B1154" t="s">
        <v>54</v>
      </c>
      <c r="C1154">
        <v>3</v>
      </c>
      <c r="D1154">
        <v>32.299999999999997</v>
      </c>
      <c r="E1154">
        <v>96.899999999999991</v>
      </c>
      <c r="F1154" s="1">
        <v>45703</v>
      </c>
      <c r="G1154" s="1">
        <v>45704</v>
      </c>
      <c r="H1154" t="s">
        <v>74</v>
      </c>
      <c r="I1154" t="s">
        <v>25</v>
      </c>
      <c r="J1154">
        <v>3</v>
      </c>
      <c r="K1154" t="s">
        <v>4</v>
      </c>
      <c r="L1154" t="s">
        <v>57</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5">
      <c r="A1155" t="s">
        <v>1237</v>
      </c>
      <c r="B1155" t="s">
        <v>17</v>
      </c>
      <c r="C1155">
        <v>2</v>
      </c>
      <c r="D1155">
        <v>66.900000000000006</v>
      </c>
      <c r="E1155">
        <v>133.80000000000001</v>
      </c>
      <c r="F1155" s="1">
        <v>45703</v>
      </c>
      <c r="G1155" s="1">
        <v>45706</v>
      </c>
      <c r="H1155" t="s">
        <v>8</v>
      </c>
      <c r="I1155" t="s">
        <v>20</v>
      </c>
      <c r="J1155">
        <v>4</v>
      </c>
      <c r="K1155" t="s">
        <v>4</v>
      </c>
      <c r="L1155" t="s">
        <v>62</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5">
      <c r="A1156" t="s">
        <v>1238</v>
      </c>
      <c r="B1156" t="s">
        <v>17</v>
      </c>
      <c r="C1156">
        <v>12</v>
      </c>
      <c r="D1156">
        <v>25.2</v>
      </c>
      <c r="E1156">
        <v>302.39999999999998</v>
      </c>
      <c r="F1156" s="1">
        <v>45703</v>
      </c>
      <c r="G1156" s="1">
        <v>45707</v>
      </c>
      <c r="H1156" t="s">
        <v>12</v>
      </c>
      <c r="I1156" t="s">
        <v>3</v>
      </c>
      <c r="J1156">
        <v>3</v>
      </c>
      <c r="K1156" t="s">
        <v>4</v>
      </c>
      <c r="L1156" t="s">
        <v>62</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5">
      <c r="A1157" t="s">
        <v>1239</v>
      </c>
      <c r="B1157" t="s">
        <v>39</v>
      </c>
      <c r="C1157">
        <v>6</v>
      </c>
      <c r="D1157">
        <v>29.5</v>
      </c>
      <c r="E1157">
        <v>177</v>
      </c>
      <c r="F1157" s="1">
        <v>45703</v>
      </c>
      <c r="G1157" s="1">
        <v>45704</v>
      </c>
      <c r="H1157" t="s">
        <v>8</v>
      </c>
      <c r="I1157" t="s">
        <v>25</v>
      </c>
      <c r="J1157">
        <v>4</v>
      </c>
      <c r="K1157" t="s">
        <v>4</v>
      </c>
      <c r="L1157" t="s">
        <v>62</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5">
      <c r="A1158" t="s">
        <v>1240</v>
      </c>
      <c r="B1158" t="s">
        <v>29</v>
      </c>
      <c r="C1158">
        <v>5</v>
      </c>
      <c r="D1158">
        <v>21.6</v>
      </c>
      <c r="E1158">
        <v>108</v>
      </c>
      <c r="F1158" s="1">
        <v>45703</v>
      </c>
      <c r="G1158" s="1">
        <v>45705</v>
      </c>
      <c r="H1158" t="s">
        <v>12</v>
      </c>
      <c r="I1158" t="s">
        <v>3</v>
      </c>
      <c r="J1158">
        <v>5</v>
      </c>
      <c r="K1158" t="s">
        <v>4</v>
      </c>
      <c r="L1158" t="s">
        <v>294</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5">
      <c r="A1159" t="s">
        <v>1241</v>
      </c>
      <c r="B1159" t="s">
        <v>54</v>
      </c>
      <c r="C1159">
        <v>3</v>
      </c>
      <c r="D1159">
        <v>69</v>
      </c>
      <c r="E1159">
        <v>207</v>
      </c>
      <c r="F1159" s="1">
        <v>45703</v>
      </c>
      <c r="G1159" s="1">
        <v>45704</v>
      </c>
      <c r="H1159" t="s">
        <v>12</v>
      </c>
      <c r="I1159" t="s">
        <v>3</v>
      </c>
      <c r="J1159">
        <v>4</v>
      </c>
      <c r="K1159" t="s">
        <v>4</v>
      </c>
      <c r="L1159" t="s">
        <v>93</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5">
      <c r="A1160" t="s">
        <v>1242</v>
      </c>
      <c r="B1160" t="s">
        <v>27</v>
      </c>
      <c r="C1160">
        <v>2</v>
      </c>
      <c r="D1160">
        <v>115</v>
      </c>
      <c r="E1160">
        <v>230</v>
      </c>
      <c r="F1160" s="1">
        <v>45703</v>
      </c>
      <c r="G1160" s="1">
        <v>45707</v>
      </c>
      <c r="H1160" t="s">
        <v>8</v>
      </c>
      <c r="I1160" t="s">
        <v>3</v>
      </c>
      <c r="J1160">
        <v>5</v>
      </c>
      <c r="K1160" t="s">
        <v>4</v>
      </c>
      <c r="L1160" t="s">
        <v>93</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5">
      <c r="A1161" t="s">
        <v>1243</v>
      </c>
      <c r="B1161" t="s">
        <v>11</v>
      </c>
      <c r="C1161">
        <v>2</v>
      </c>
      <c r="D1161">
        <v>109.3</v>
      </c>
      <c r="E1161">
        <v>218.6</v>
      </c>
      <c r="F1161" s="1">
        <v>45703</v>
      </c>
      <c r="G1161" s="1">
        <v>45705</v>
      </c>
      <c r="H1161" t="s">
        <v>2</v>
      </c>
      <c r="I1161" t="s">
        <v>36</v>
      </c>
      <c r="J1161">
        <v>3</v>
      </c>
      <c r="K1161" t="s">
        <v>4</v>
      </c>
      <c r="L1161" t="s">
        <v>95</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5">
      <c r="A1162" t="s">
        <v>1244</v>
      </c>
      <c r="B1162" t="s">
        <v>31</v>
      </c>
      <c r="C1162">
        <v>2</v>
      </c>
      <c r="D1162">
        <v>66.599999999999994</v>
      </c>
      <c r="E1162">
        <v>133.19999999999999</v>
      </c>
      <c r="F1162" s="1">
        <v>45703</v>
      </c>
      <c r="G1162" s="1">
        <v>45706</v>
      </c>
      <c r="H1162" t="s">
        <v>2</v>
      </c>
      <c r="I1162" t="s">
        <v>55</v>
      </c>
      <c r="J1162">
        <v>3</v>
      </c>
      <c r="K1162" t="s">
        <v>4</v>
      </c>
      <c r="L1162" t="s">
        <v>95</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5">
      <c r="A1163" t="s">
        <v>1245</v>
      </c>
      <c r="B1163" t="s">
        <v>54</v>
      </c>
      <c r="C1163">
        <v>5</v>
      </c>
      <c r="D1163">
        <v>47.7</v>
      </c>
      <c r="E1163">
        <v>238.5</v>
      </c>
      <c r="F1163" s="1">
        <v>45703</v>
      </c>
      <c r="G1163" s="1">
        <v>45704</v>
      </c>
      <c r="H1163" t="s">
        <v>8</v>
      </c>
      <c r="I1163" t="s">
        <v>36</v>
      </c>
      <c r="J1163">
        <v>5</v>
      </c>
      <c r="K1163" t="s">
        <v>4</v>
      </c>
      <c r="L1163" t="s">
        <v>100</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5">
      <c r="A1164" t="s">
        <v>1246</v>
      </c>
      <c r="B1164" t="s">
        <v>29</v>
      </c>
      <c r="C1164">
        <v>2</v>
      </c>
      <c r="D1164">
        <v>46</v>
      </c>
      <c r="E1164">
        <v>92</v>
      </c>
      <c r="F1164" s="1">
        <v>45703</v>
      </c>
      <c r="G1164" s="1">
        <v>45704</v>
      </c>
      <c r="H1164" t="s">
        <v>12</v>
      </c>
      <c r="I1164" t="s">
        <v>55</v>
      </c>
      <c r="J1164">
        <v>2</v>
      </c>
      <c r="K1164" t="s">
        <v>4</v>
      </c>
      <c r="L1164" t="s">
        <v>132</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5">
      <c r="A1165" t="s">
        <v>1247</v>
      </c>
      <c r="B1165" t="s">
        <v>7</v>
      </c>
      <c r="C1165">
        <v>6</v>
      </c>
      <c r="D1165">
        <v>39.299999999999997</v>
      </c>
      <c r="E1165">
        <v>235.79999999999998</v>
      </c>
      <c r="F1165" s="1">
        <v>45703</v>
      </c>
      <c r="G1165" s="1">
        <v>45705</v>
      </c>
      <c r="H1165" t="s">
        <v>8</v>
      </c>
      <c r="I1165" t="s">
        <v>36</v>
      </c>
      <c r="J1165">
        <v>5</v>
      </c>
      <c r="K1165" t="s">
        <v>4</v>
      </c>
      <c r="L1165" t="s">
        <v>18</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5">
      <c r="A1166" t="s">
        <v>1248</v>
      </c>
      <c r="B1166" t="s">
        <v>31</v>
      </c>
      <c r="C1166">
        <v>1</v>
      </c>
      <c r="D1166">
        <v>70.2</v>
      </c>
      <c r="E1166">
        <v>70.2</v>
      </c>
      <c r="F1166" s="1">
        <v>45703</v>
      </c>
      <c r="G1166" s="1">
        <v>45704</v>
      </c>
      <c r="H1166" t="s">
        <v>12</v>
      </c>
      <c r="I1166" t="s">
        <v>3</v>
      </c>
      <c r="J1166">
        <v>2</v>
      </c>
      <c r="K1166" t="s">
        <v>4</v>
      </c>
      <c r="L1166" t="s">
        <v>18</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5">
      <c r="A1167" t="s">
        <v>1249</v>
      </c>
      <c r="B1167" t="s">
        <v>15</v>
      </c>
      <c r="C1167">
        <v>4</v>
      </c>
      <c r="D1167">
        <v>71.5</v>
      </c>
      <c r="E1167">
        <v>286</v>
      </c>
      <c r="F1167" s="1">
        <v>45703</v>
      </c>
      <c r="G1167" s="1">
        <v>45703</v>
      </c>
      <c r="H1167" t="s">
        <v>12</v>
      </c>
      <c r="I1167" t="s">
        <v>20</v>
      </c>
      <c r="J1167">
        <v>5</v>
      </c>
      <c r="K1167" t="s">
        <v>4</v>
      </c>
      <c r="L1167" t="s">
        <v>18</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5">
      <c r="A1168" t="s">
        <v>1250</v>
      </c>
      <c r="B1168" t="s">
        <v>39</v>
      </c>
      <c r="C1168">
        <v>7</v>
      </c>
      <c r="D1168">
        <v>31</v>
      </c>
      <c r="E1168">
        <v>217</v>
      </c>
      <c r="F1168" s="1">
        <v>45703</v>
      </c>
      <c r="G1168" s="1">
        <v>45710</v>
      </c>
      <c r="H1168" t="s">
        <v>12</v>
      </c>
      <c r="I1168" t="s">
        <v>36</v>
      </c>
      <c r="J1168">
        <v>5</v>
      </c>
      <c r="K1168" t="s">
        <v>4</v>
      </c>
      <c r="L1168" t="s">
        <v>18</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5">
      <c r="A1169" t="s">
        <v>1251</v>
      </c>
      <c r="B1169" t="s">
        <v>11</v>
      </c>
      <c r="C1169">
        <v>5</v>
      </c>
      <c r="D1169">
        <v>68.2</v>
      </c>
      <c r="E1169">
        <v>341</v>
      </c>
      <c r="F1169" s="1">
        <v>45703</v>
      </c>
      <c r="G1169" s="1">
        <v>45708</v>
      </c>
      <c r="H1169" t="s">
        <v>12</v>
      </c>
      <c r="I1169" t="s">
        <v>3</v>
      </c>
      <c r="J1169">
        <v>5</v>
      </c>
      <c r="K1169" t="s">
        <v>4</v>
      </c>
      <c r="L1169" t="s">
        <v>18</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5">
      <c r="A1170" t="s">
        <v>1252</v>
      </c>
      <c r="B1170" t="s">
        <v>11</v>
      </c>
      <c r="C1170">
        <v>1</v>
      </c>
      <c r="D1170">
        <v>91.4</v>
      </c>
      <c r="E1170">
        <v>91.4</v>
      </c>
      <c r="F1170" s="1">
        <v>45703</v>
      </c>
      <c r="G1170" s="1">
        <v>45707</v>
      </c>
      <c r="H1170" t="s">
        <v>12</v>
      </c>
      <c r="I1170" t="s">
        <v>20</v>
      </c>
      <c r="J1170">
        <v>5</v>
      </c>
      <c r="K1170" t="s">
        <v>4</v>
      </c>
      <c r="L1170" t="s">
        <v>40</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5">
      <c r="A1171" t="s">
        <v>1253</v>
      </c>
      <c r="B1171" t="s">
        <v>24</v>
      </c>
      <c r="C1171">
        <v>10</v>
      </c>
      <c r="D1171">
        <v>112.9</v>
      </c>
      <c r="E1171">
        <v>1129</v>
      </c>
      <c r="F1171" s="1">
        <v>45703</v>
      </c>
      <c r="G1171" s="1">
        <v>45704</v>
      </c>
      <c r="H1171" t="s">
        <v>12</v>
      </c>
      <c r="I1171" t="s">
        <v>3</v>
      </c>
      <c r="J1171">
        <v>4</v>
      </c>
      <c r="K1171" t="s">
        <v>4</v>
      </c>
      <c r="L1171" t="s">
        <v>40</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5">
      <c r="A1172" t="s">
        <v>1254</v>
      </c>
      <c r="B1172" t="s">
        <v>120</v>
      </c>
      <c r="C1172">
        <v>9</v>
      </c>
      <c r="D1172">
        <v>33.700000000000003</v>
      </c>
      <c r="E1172">
        <v>303.3</v>
      </c>
      <c r="F1172" s="1">
        <v>45703</v>
      </c>
      <c r="G1172" s="1">
        <v>45704</v>
      </c>
      <c r="H1172" t="s">
        <v>12</v>
      </c>
      <c r="I1172" t="s">
        <v>20</v>
      </c>
      <c r="J1172">
        <v>5</v>
      </c>
      <c r="K1172" t="s">
        <v>4</v>
      </c>
      <c r="L1172" t="s">
        <v>47</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5">
      <c r="A1173" t="s">
        <v>1255</v>
      </c>
      <c r="B1173" t="s">
        <v>108</v>
      </c>
      <c r="C1173">
        <v>10</v>
      </c>
      <c r="D1173">
        <v>35.299999999999997</v>
      </c>
      <c r="E1173">
        <v>353</v>
      </c>
      <c r="F1173" s="1">
        <v>45703</v>
      </c>
      <c r="G1173" s="1">
        <v>45705</v>
      </c>
      <c r="H1173" t="s">
        <v>8</v>
      </c>
      <c r="I1173" t="s">
        <v>25</v>
      </c>
      <c r="J1173">
        <v>4</v>
      </c>
      <c r="K1173" t="s">
        <v>4</v>
      </c>
      <c r="L1173" t="s">
        <v>47</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5">
      <c r="A1174" t="s">
        <v>1256</v>
      </c>
      <c r="B1174" t="s">
        <v>131</v>
      </c>
      <c r="C1174">
        <v>3</v>
      </c>
      <c r="D1174">
        <v>45.6</v>
      </c>
      <c r="E1174">
        <v>136.80000000000001</v>
      </c>
      <c r="F1174" s="1">
        <v>45703</v>
      </c>
      <c r="G1174" s="1">
        <v>45707</v>
      </c>
      <c r="H1174" t="s">
        <v>8</v>
      </c>
      <c r="I1174" t="s">
        <v>36</v>
      </c>
      <c r="J1174">
        <v>4</v>
      </c>
      <c r="K1174" t="s">
        <v>4</v>
      </c>
      <c r="L1174" t="s">
        <v>47</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5">
      <c r="A1175" t="s">
        <v>1257</v>
      </c>
      <c r="B1175" t="s">
        <v>27</v>
      </c>
      <c r="C1175">
        <v>7</v>
      </c>
      <c r="D1175">
        <v>47.1</v>
      </c>
      <c r="E1175">
        <v>329.7</v>
      </c>
      <c r="F1175" s="1">
        <v>45703</v>
      </c>
      <c r="G1175" s="1">
        <v>45704</v>
      </c>
      <c r="H1175" t="s">
        <v>12</v>
      </c>
      <c r="I1175" t="s">
        <v>55</v>
      </c>
      <c r="J1175">
        <v>5</v>
      </c>
      <c r="K1175" t="s">
        <v>4</v>
      </c>
      <c r="L1175" t="s">
        <v>57</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5">
      <c r="A1176" t="s">
        <v>1258</v>
      </c>
      <c r="B1176" t="s">
        <v>29</v>
      </c>
      <c r="C1176">
        <v>5</v>
      </c>
      <c r="D1176">
        <v>16.2</v>
      </c>
      <c r="E1176">
        <v>81</v>
      </c>
      <c r="F1176" s="1">
        <v>45703</v>
      </c>
      <c r="G1176" s="1">
        <v>45705</v>
      </c>
      <c r="H1176" t="s">
        <v>12</v>
      </c>
      <c r="I1176" t="s">
        <v>36</v>
      </c>
      <c r="J1176">
        <v>5</v>
      </c>
      <c r="K1176" t="s">
        <v>4</v>
      </c>
      <c r="L1176" t="s">
        <v>95</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5">
      <c r="A1177" t="s">
        <v>1259</v>
      </c>
      <c r="B1177" t="s">
        <v>7</v>
      </c>
      <c r="C1177">
        <v>2</v>
      </c>
      <c r="D1177">
        <v>159.69999999999999</v>
      </c>
      <c r="E1177">
        <v>319.39999999999998</v>
      </c>
      <c r="F1177" s="1">
        <v>45704</v>
      </c>
      <c r="G1177" s="1">
        <v>45705</v>
      </c>
      <c r="H1177" t="s">
        <v>8</v>
      </c>
      <c r="I1177" t="s">
        <v>55</v>
      </c>
      <c r="J1177">
        <v>4</v>
      </c>
      <c r="K1177" t="s">
        <v>4</v>
      </c>
      <c r="L1177" t="s">
        <v>67</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5">
      <c r="A1178" t="s">
        <v>1260</v>
      </c>
      <c r="B1178" t="s">
        <v>29</v>
      </c>
      <c r="C1178">
        <v>4</v>
      </c>
      <c r="D1178">
        <v>19</v>
      </c>
      <c r="E1178">
        <v>76</v>
      </c>
      <c r="F1178" s="1">
        <v>45704</v>
      </c>
      <c r="G1178" s="1">
        <v>45711</v>
      </c>
      <c r="H1178" t="s">
        <v>12</v>
      </c>
      <c r="I1178" t="s">
        <v>25</v>
      </c>
      <c r="J1178">
        <v>5</v>
      </c>
      <c r="K1178" t="s">
        <v>4</v>
      </c>
      <c r="L1178" t="s">
        <v>100</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5">
      <c r="A1179" t="s">
        <v>1261</v>
      </c>
      <c r="B1179" t="s">
        <v>24</v>
      </c>
      <c r="C1179">
        <v>6</v>
      </c>
      <c r="D1179">
        <v>91.1</v>
      </c>
      <c r="E1179">
        <v>546.59999999999991</v>
      </c>
      <c r="F1179" s="1">
        <v>45704</v>
      </c>
      <c r="G1179" s="1">
        <v>45713</v>
      </c>
      <c r="H1179" t="s">
        <v>12</v>
      </c>
      <c r="I1179" t="s">
        <v>55</v>
      </c>
      <c r="J1179">
        <v>4</v>
      </c>
      <c r="K1179" t="s">
        <v>4</v>
      </c>
      <c r="L1179" t="s">
        <v>100</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5">
      <c r="A1180" t="s">
        <v>1262</v>
      </c>
      <c r="B1180" t="s">
        <v>11</v>
      </c>
      <c r="C1180">
        <v>5</v>
      </c>
      <c r="D1180">
        <v>94.1</v>
      </c>
      <c r="E1180">
        <v>470.5</v>
      </c>
      <c r="F1180" s="1">
        <v>45704</v>
      </c>
      <c r="G1180" s="1">
        <v>45707</v>
      </c>
      <c r="H1180" t="s">
        <v>2</v>
      </c>
      <c r="I1180" t="s">
        <v>20</v>
      </c>
      <c r="J1180">
        <v>3</v>
      </c>
      <c r="K1180" t="s">
        <v>4</v>
      </c>
      <c r="L1180" t="s">
        <v>100</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5">
      <c r="A1181" t="s">
        <v>1263</v>
      </c>
      <c r="B1181" t="s">
        <v>31</v>
      </c>
      <c r="C1181">
        <v>9</v>
      </c>
      <c r="D1181">
        <v>21.1</v>
      </c>
      <c r="E1181">
        <v>189.9</v>
      </c>
      <c r="F1181" s="1">
        <v>45704</v>
      </c>
      <c r="G1181" s="1">
        <v>45705</v>
      </c>
      <c r="H1181" t="s">
        <v>12</v>
      </c>
      <c r="I1181" t="s">
        <v>55</v>
      </c>
      <c r="J1181">
        <v>5</v>
      </c>
      <c r="K1181" t="s">
        <v>4</v>
      </c>
      <c r="L1181" t="s">
        <v>952</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5">
      <c r="A1182" t="s">
        <v>1264</v>
      </c>
      <c r="B1182" t="s">
        <v>29</v>
      </c>
      <c r="C1182">
        <v>7</v>
      </c>
      <c r="D1182">
        <v>15.3</v>
      </c>
      <c r="E1182">
        <v>107.10000000000001</v>
      </c>
      <c r="F1182" s="1">
        <v>45704</v>
      </c>
      <c r="G1182" s="1">
        <v>45712</v>
      </c>
      <c r="H1182" t="s">
        <v>12</v>
      </c>
      <c r="I1182" t="s">
        <v>25</v>
      </c>
      <c r="J1182">
        <v>4</v>
      </c>
      <c r="K1182" t="s">
        <v>4</v>
      </c>
      <c r="L1182" t="s">
        <v>9</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5">
      <c r="A1183" t="s">
        <v>1265</v>
      </c>
      <c r="B1183" t="s">
        <v>108</v>
      </c>
      <c r="C1183">
        <v>4</v>
      </c>
      <c r="D1183">
        <v>21.3</v>
      </c>
      <c r="E1183">
        <v>85.2</v>
      </c>
      <c r="F1183" s="1">
        <v>45704</v>
      </c>
      <c r="G1183" s="1">
        <v>45707</v>
      </c>
      <c r="H1183" t="s">
        <v>8</v>
      </c>
      <c r="I1183" t="s">
        <v>20</v>
      </c>
      <c r="J1183">
        <v>4</v>
      </c>
      <c r="K1183" t="s">
        <v>4</v>
      </c>
      <c r="L1183" t="s">
        <v>18</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5">
      <c r="A1184" t="s">
        <v>1266</v>
      </c>
      <c r="B1184" t="s">
        <v>1</v>
      </c>
      <c r="C1184">
        <v>2</v>
      </c>
      <c r="D1184">
        <v>23.2</v>
      </c>
      <c r="E1184">
        <v>46.4</v>
      </c>
      <c r="F1184" s="1">
        <v>45704</v>
      </c>
      <c r="G1184" s="1">
        <v>45704</v>
      </c>
      <c r="H1184" t="s">
        <v>2</v>
      </c>
      <c r="I1184" t="s">
        <v>36</v>
      </c>
      <c r="J1184">
        <v>3</v>
      </c>
      <c r="K1184" t="s">
        <v>4</v>
      </c>
      <c r="L1184" t="s">
        <v>18</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5">
      <c r="A1185" t="s">
        <v>1267</v>
      </c>
      <c r="B1185" t="s">
        <v>17</v>
      </c>
      <c r="C1185">
        <v>3</v>
      </c>
      <c r="D1185">
        <v>25.7</v>
      </c>
      <c r="E1185">
        <v>77.099999999999994</v>
      </c>
      <c r="F1185" s="1">
        <v>45704</v>
      </c>
      <c r="G1185" s="1">
        <v>45705</v>
      </c>
      <c r="H1185" t="s">
        <v>8</v>
      </c>
      <c r="I1185" t="s">
        <v>55</v>
      </c>
      <c r="J1185">
        <v>4</v>
      </c>
      <c r="K1185" t="s">
        <v>4</v>
      </c>
      <c r="L1185" t="s">
        <v>18</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5">
      <c r="A1186" t="s">
        <v>1268</v>
      </c>
      <c r="B1186" t="s">
        <v>1</v>
      </c>
      <c r="C1186">
        <v>9</v>
      </c>
      <c r="D1186">
        <v>31.6</v>
      </c>
      <c r="E1186">
        <v>284.40000000000003</v>
      </c>
      <c r="F1186" s="1">
        <v>45704</v>
      </c>
      <c r="G1186" s="1">
        <v>45706</v>
      </c>
      <c r="H1186" t="s">
        <v>12</v>
      </c>
      <c r="I1186" t="s">
        <v>3</v>
      </c>
      <c r="J1186">
        <v>4</v>
      </c>
      <c r="K1186" t="s">
        <v>4</v>
      </c>
      <c r="L1186" t="s">
        <v>18</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5">
      <c r="A1187" t="s">
        <v>1269</v>
      </c>
      <c r="B1187" t="s">
        <v>24</v>
      </c>
      <c r="C1187">
        <v>1</v>
      </c>
      <c r="D1187">
        <v>64.2</v>
      </c>
      <c r="E1187">
        <v>64.2</v>
      </c>
      <c r="F1187" s="1">
        <v>45704</v>
      </c>
      <c r="G1187" s="1">
        <v>45709</v>
      </c>
      <c r="H1187" t="s">
        <v>8</v>
      </c>
      <c r="I1187" t="s">
        <v>3</v>
      </c>
      <c r="J1187">
        <v>4</v>
      </c>
      <c r="K1187" t="s">
        <v>4</v>
      </c>
      <c r="L1187" t="s">
        <v>18</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5">
      <c r="A1188" t="s">
        <v>1270</v>
      </c>
      <c r="B1188" t="s">
        <v>29</v>
      </c>
      <c r="C1188">
        <v>2</v>
      </c>
      <c r="D1188">
        <v>55.8</v>
      </c>
      <c r="E1188">
        <v>111.6</v>
      </c>
      <c r="F1188" s="1">
        <v>45704</v>
      </c>
      <c r="G1188" s="1">
        <v>45706</v>
      </c>
      <c r="H1188" t="s">
        <v>2</v>
      </c>
      <c r="I1188" t="s">
        <v>3</v>
      </c>
      <c r="J1188">
        <v>4</v>
      </c>
      <c r="K1188" t="s">
        <v>4</v>
      </c>
      <c r="L1188" t="s">
        <v>18</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5">
      <c r="A1189" t="s">
        <v>1271</v>
      </c>
      <c r="B1189" t="s">
        <v>29</v>
      </c>
      <c r="C1189">
        <v>2</v>
      </c>
      <c r="D1189">
        <v>28.1</v>
      </c>
      <c r="E1189">
        <v>56.2</v>
      </c>
      <c r="F1189" s="1">
        <v>45704</v>
      </c>
      <c r="G1189" s="1">
        <v>45705</v>
      </c>
      <c r="H1189" t="s">
        <v>12</v>
      </c>
      <c r="I1189" t="s">
        <v>55</v>
      </c>
      <c r="J1189">
        <v>3</v>
      </c>
      <c r="K1189" t="s">
        <v>4</v>
      </c>
      <c r="L1189" t="s">
        <v>18</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5">
      <c r="A1190" t="s">
        <v>1272</v>
      </c>
      <c r="B1190" t="s">
        <v>1</v>
      </c>
      <c r="C1190">
        <v>2</v>
      </c>
      <c r="D1190">
        <v>11.6</v>
      </c>
      <c r="E1190">
        <v>23.2</v>
      </c>
      <c r="F1190" s="1">
        <v>45704</v>
      </c>
      <c r="G1190" s="1">
        <v>45706</v>
      </c>
      <c r="H1190" t="s">
        <v>12</v>
      </c>
      <c r="I1190" t="s">
        <v>20</v>
      </c>
      <c r="J1190">
        <v>4</v>
      </c>
      <c r="K1190" t="s">
        <v>4</v>
      </c>
      <c r="L1190" t="s">
        <v>171</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5">
      <c r="A1191" t="s">
        <v>1273</v>
      </c>
      <c r="B1191" t="s">
        <v>22</v>
      </c>
      <c r="C1191">
        <v>3</v>
      </c>
      <c r="D1191">
        <v>50.4</v>
      </c>
      <c r="E1191">
        <v>151.19999999999999</v>
      </c>
      <c r="F1191" s="1">
        <v>45704</v>
      </c>
      <c r="G1191" s="1">
        <v>45705</v>
      </c>
      <c r="H1191" t="s">
        <v>8</v>
      </c>
      <c r="I1191" t="s">
        <v>55</v>
      </c>
      <c r="J1191">
        <v>5</v>
      </c>
      <c r="K1191" t="s">
        <v>4</v>
      </c>
      <c r="L1191" t="s">
        <v>173</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5">
      <c r="A1192" t="s">
        <v>1274</v>
      </c>
      <c r="B1192" t="s">
        <v>24</v>
      </c>
      <c r="C1192">
        <v>6</v>
      </c>
      <c r="D1192">
        <v>48.3</v>
      </c>
      <c r="E1192">
        <v>289.79999999999995</v>
      </c>
      <c r="F1192" s="1">
        <v>45704</v>
      </c>
      <c r="G1192" s="1">
        <v>45708</v>
      </c>
      <c r="H1192" t="s">
        <v>12</v>
      </c>
      <c r="I1192" t="s">
        <v>3</v>
      </c>
      <c r="J1192">
        <v>4</v>
      </c>
      <c r="K1192" t="s">
        <v>4</v>
      </c>
      <c r="L1192" t="s">
        <v>173</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5">
      <c r="A1193" t="s">
        <v>1275</v>
      </c>
      <c r="B1193" t="s">
        <v>120</v>
      </c>
      <c r="C1193">
        <v>7</v>
      </c>
      <c r="D1193">
        <v>32.200000000000003</v>
      </c>
      <c r="E1193">
        <v>225.40000000000003</v>
      </c>
      <c r="F1193" s="1">
        <v>45704</v>
      </c>
      <c r="G1193" s="1">
        <v>45706</v>
      </c>
      <c r="H1193" t="s">
        <v>12</v>
      </c>
      <c r="I1193" t="s">
        <v>25</v>
      </c>
      <c r="J1193">
        <v>4</v>
      </c>
      <c r="K1193" t="s">
        <v>4</v>
      </c>
      <c r="L1193" t="s">
        <v>173</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5">
      <c r="A1194" t="s">
        <v>1276</v>
      </c>
      <c r="B1194" t="s">
        <v>27</v>
      </c>
      <c r="C1194">
        <v>28</v>
      </c>
      <c r="D1194">
        <v>48.5</v>
      </c>
      <c r="E1194">
        <v>1358</v>
      </c>
      <c r="F1194" s="1">
        <v>45704</v>
      </c>
      <c r="G1194" s="1">
        <v>45705</v>
      </c>
      <c r="H1194" t="s">
        <v>8</v>
      </c>
      <c r="I1194" t="s">
        <v>3</v>
      </c>
      <c r="J1194">
        <v>4</v>
      </c>
      <c r="K1194" t="s">
        <v>4</v>
      </c>
      <c r="L1194" t="s">
        <v>37</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5">
      <c r="A1195" t="s">
        <v>1277</v>
      </c>
      <c r="B1195" t="s">
        <v>11</v>
      </c>
      <c r="C1195">
        <v>5</v>
      </c>
      <c r="D1195">
        <v>62</v>
      </c>
      <c r="E1195">
        <v>310</v>
      </c>
      <c r="F1195" s="1">
        <v>45704</v>
      </c>
      <c r="G1195" s="1">
        <v>45707</v>
      </c>
      <c r="H1195" t="s">
        <v>12</v>
      </c>
      <c r="I1195" t="s">
        <v>20</v>
      </c>
      <c r="J1195">
        <v>4</v>
      </c>
      <c r="K1195" t="s">
        <v>4</v>
      </c>
      <c r="L1195" t="s">
        <v>40</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5">
      <c r="A1196" t="s">
        <v>1278</v>
      </c>
      <c r="B1196" t="s">
        <v>29</v>
      </c>
      <c r="C1196">
        <v>3</v>
      </c>
      <c r="D1196">
        <v>32.1</v>
      </c>
      <c r="E1196">
        <v>96.300000000000011</v>
      </c>
      <c r="F1196" s="1">
        <v>45705</v>
      </c>
      <c r="G1196" s="1">
        <v>45707</v>
      </c>
      <c r="H1196" t="s">
        <v>8</v>
      </c>
      <c r="I1196" t="s">
        <v>3</v>
      </c>
      <c r="J1196">
        <v>4</v>
      </c>
      <c r="K1196" t="s">
        <v>4</v>
      </c>
      <c r="L1196" t="s">
        <v>40</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5">
      <c r="A1197" t="s">
        <v>1279</v>
      </c>
      <c r="B1197" t="s">
        <v>54</v>
      </c>
      <c r="C1197">
        <v>3</v>
      </c>
      <c r="D1197">
        <v>106.1</v>
      </c>
      <c r="E1197">
        <v>318.29999999999995</v>
      </c>
      <c r="F1197" s="1">
        <v>45705</v>
      </c>
      <c r="G1197" s="1">
        <v>45707</v>
      </c>
      <c r="H1197" t="s">
        <v>8</v>
      </c>
      <c r="I1197" t="s">
        <v>3</v>
      </c>
      <c r="J1197">
        <v>3</v>
      </c>
      <c r="K1197" t="s">
        <v>4</v>
      </c>
      <c r="L1197" t="s">
        <v>44</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5">
      <c r="A1198" t="s">
        <v>1280</v>
      </c>
      <c r="B1198" t="s">
        <v>39</v>
      </c>
      <c r="C1198">
        <v>3</v>
      </c>
      <c r="D1198">
        <v>23.5</v>
      </c>
      <c r="E1198">
        <v>70.5</v>
      </c>
      <c r="F1198" s="1">
        <v>45705</v>
      </c>
      <c r="G1198" s="1">
        <v>45708</v>
      </c>
      <c r="H1198" t="s">
        <v>8</v>
      </c>
      <c r="I1198" t="s">
        <v>3</v>
      </c>
      <c r="J1198">
        <v>2</v>
      </c>
      <c r="K1198" t="s">
        <v>4</v>
      </c>
      <c r="L1198" t="s">
        <v>44</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5">
      <c r="A1199" t="s">
        <v>1281</v>
      </c>
      <c r="B1199" t="s">
        <v>7</v>
      </c>
      <c r="C1199">
        <v>2</v>
      </c>
      <c r="D1199">
        <v>35.6</v>
      </c>
      <c r="E1199">
        <v>71.2</v>
      </c>
      <c r="F1199" s="1">
        <v>45705</v>
      </c>
      <c r="G1199" s="1">
        <v>45710</v>
      </c>
      <c r="H1199" t="s">
        <v>8</v>
      </c>
      <c r="I1199" t="s">
        <v>55</v>
      </c>
      <c r="J1199">
        <v>4</v>
      </c>
      <c r="K1199" t="s">
        <v>4</v>
      </c>
      <c r="L1199" t="s">
        <v>47</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5">
      <c r="A1200" t="s">
        <v>1282</v>
      </c>
      <c r="B1200" t="s">
        <v>7</v>
      </c>
      <c r="C1200">
        <v>2</v>
      </c>
      <c r="D1200">
        <v>63.5</v>
      </c>
      <c r="E1200">
        <v>127</v>
      </c>
      <c r="F1200" s="1">
        <v>45705</v>
      </c>
      <c r="G1200" s="1">
        <v>45705</v>
      </c>
      <c r="H1200" t="s">
        <v>12</v>
      </c>
      <c r="I1200" t="s">
        <v>20</v>
      </c>
      <c r="J1200">
        <v>5</v>
      </c>
      <c r="K1200" t="s">
        <v>4</v>
      </c>
      <c r="L1200" t="s">
        <v>47</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5">
      <c r="A1201" t="s">
        <v>1283</v>
      </c>
      <c r="B1201" t="s">
        <v>24</v>
      </c>
      <c r="C1201">
        <v>7</v>
      </c>
      <c r="D1201">
        <v>82.9</v>
      </c>
      <c r="E1201">
        <v>580.30000000000007</v>
      </c>
      <c r="F1201" s="1">
        <v>45705</v>
      </c>
      <c r="G1201" s="1">
        <v>45710</v>
      </c>
      <c r="H1201" t="s">
        <v>12</v>
      </c>
      <c r="I1201" t="s">
        <v>55</v>
      </c>
      <c r="J1201">
        <v>4</v>
      </c>
      <c r="K1201" t="s">
        <v>4</v>
      </c>
      <c r="L1201" t="s">
        <v>57</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5">
      <c r="A1202" t="s">
        <v>1284</v>
      </c>
      <c r="B1202" t="s">
        <v>24</v>
      </c>
      <c r="C1202">
        <v>2</v>
      </c>
      <c r="D1202">
        <v>83.6</v>
      </c>
      <c r="E1202">
        <v>167.2</v>
      </c>
      <c r="F1202" s="1">
        <v>45705</v>
      </c>
      <c r="G1202" s="1">
        <v>45710</v>
      </c>
      <c r="H1202" t="s">
        <v>12</v>
      </c>
      <c r="I1202" t="s">
        <v>3</v>
      </c>
      <c r="J1202">
        <v>4</v>
      </c>
      <c r="K1202" t="s">
        <v>4</v>
      </c>
      <c r="L1202" t="s">
        <v>62</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5">
      <c r="A1203" t="s">
        <v>1285</v>
      </c>
      <c r="B1203" t="s">
        <v>17</v>
      </c>
      <c r="C1203">
        <v>2</v>
      </c>
      <c r="D1203">
        <v>29.4</v>
      </c>
      <c r="E1203">
        <v>58.8</v>
      </c>
      <c r="F1203" s="1">
        <v>45705</v>
      </c>
      <c r="G1203" s="1">
        <v>45705</v>
      </c>
      <c r="H1203" t="s">
        <v>12</v>
      </c>
      <c r="I1203" t="s">
        <v>3</v>
      </c>
      <c r="J1203">
        <v>3</v>
      </c>
      <c r="K1203" t="s">
        <v>4</v>
      </c>
      <c r="L1203" t="s">
        <v>253</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5">
      <c r="A1204" t="s">
        <v>1286</v>
      </c>
      <c r="B1204" t="s">
        <v>11</v>
      </c>
      <c r="C1204">
        <v>3</v>
      </c>
      <c r="D1204">
        <v>107.1</v>
      </c>
      <c r="E1204">
        <v>321.29999999999995</v>
      </c>
      <c r="F1204" s="1">
        <v>45705</v>
      </c>
      <c r="G1204" s="1">
        <v>45709</v>
      </c>
      <c r="H1204" t="s">
        <v>12</v>
      </c>
      <c r="I1204" t="s">
        <v>25</v>
      </c>
      <c r="J1204">
        <v>4</v>
      </c>
      <c r="K1204" t="s">
        <v>4</v>
      </c>
      <c r="L1204" t="s">
        <v>98</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5">
      <c r="A1205" t="s">
        <v>1287</v>
      </c>
      <c r="B1205" t="s">
        <v>11</v>
      </c>
      <c r="C1205">
        <v>1</v>
      </c>
      <c r="D1205">
        <v>62.7</v>
      </c>
      <c r="E1205">
        <v>62.7</v>
      </c>
      <c r="F1205" s="1">
        <v>45705</v>
      </c>
      <c r="G1205" s="1">
        <v>45709</v>
      </c>
      <c r="H1205" t="s">
        <v>8</v>
      </c>
      <c r="I1205" t="s">
        <v>20</v>
      </c>
      <c r="J1205">
        <v>4</v>
      </c>
      <c r="K1205" t="s">
        <v>4</v>
      </c>
      <c r="L1205" t="s">
        <v>100</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5">
      <c r="A1206" t="s">
        <v>1288</v>
      </c>
      <c r="B1206" t="s">
        <v>52</v>
      </c>
      <c r="C1206">
        <v>1</v>
      </c>
      <c r="D1206">
        <v>41.6</v>
      </c>
      <c r="E1206">
        <v>41.6</v>
      </c>
      <c r="F1206" s="1">
        <v>45705</v>
      </c>
      <c r="G1206" s="1">
        <v>45706</v>
      </c>
      <c r="H1206" t="s">
        <v>8</v>
      </c>
      <c r="I1206" t="s">
        <v>3</v>
      </c>
      <c r="J1206">
        <v>3</v>
      </c>
      <c r="K1206" t="s">
        <v>4</v>
      </c>
      <c r="L1206" t="s">
        <v>9</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5">
      <c r="A1207" t="s">
        <v>1289</v>
      </c>
      <c r="B1207" t="s">
        <v>24</v>
      </c>
      <c r="C1207">
        <v>1</v>
      </c>
      <c r="D1207">
        <v>44.2</v>
      </c>
      <c r="E1207">
        <v>44.2</v>
      </c>
      <c r="F1207" s="1">
        <v>45705</v>
      </c>
      <c r="G1207" s="1">
        <v>45706</v>
      </c>
      <c r="H1207" t="s">
        <v>74</v>
      </c>
      <c r="I1207" t="s">
        <v>3</v>
      </c>
      <c r="J1207">
        <v>3</v>
      </c>
      <c r="K1207" t="s">
        <v>4</v>
      </c>
      <c r="L1207" t="s">
        <v>9</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5">
      <c r="A1208" t="s">
        <v>1290</v>
      </c>
      <c r="B1208" t="s">
        <v>17</v>
      </c>
      <c r="C1208">
        <v>6</v>
      </c>
      <c r="D1208">
        <v>40.4</v>
      </c>
      <c r="E1208">
        <v>242.39999999999998</v>
      </c>
      <c r="F1208" s="1">
        <v>45705</v>
      </c>
      <c r="G1208" s="1">
        <v>45718</v>
      </c>
      <c r="H1208" t="s">
        <v>12</v>
      </c>
      <c r="I1208" t="s">
        <v>25</v>
      </c>
      <c r="J1208">
        <v>4</v>
      </c>
      <c r="K1208" t="s">
        <v>4</v>
      </c>
      <c r="L1208" t="s">
        <v>132</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5">
      <c r="A1209" t="s">
        <v>1291</v>
      </c>
      <c r="B1209" t="s">
        <v>108</v>
      </c>
      <c r="C1209">
        <v>6</v>
      </c>
      <c r="D1209">
        <v>59.6</v>
      </c>
      <c r="E1209">
        <v>357.6</v>
      </c>
      <c r="F1209" s="1">
        <v>45705</v>
      </c>
      <c r="G1209" s="1">
        <v>45706</v>
      </c>
      <c r="H1209" t="s">
        <v>12</v>
      </c>
      <c r="I1209" t="s">
        <v>55</v>
      </c>
      <c r="J1209">
        <v>4</v>
      </c>
      <c r="K1209" t="s">
        <v>4</v>
      </c>
      <c r="L1209" t="s">
        <v>319</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5">
      <c r="A1210" t="s">
        <v>1292</v>
      </c>
      <c r="B1210" t="s">
        <v>120</v>
      </c>
      <c r="C1210">
        <v>12</v>
      </c>
      <c r="D1210">
        <v>63.8</v>
      </c>
      <c r="E1210">
        <v>765.59999999999991</v>
      </c>
      <c r="F1210" s="1">
        <v>45705</v>
      </c>
      <c r="G1210" s="1">
        <v>45706</v>
      </c>
      <c r="H1210" t="s">
        <v>8</v>
      </c>
      <c r="I1210" t="s">
        <v>20</v>
      </c>
      <c r="J1210">
        <v>4</v>
      </c>
      <c r="K1210" t="s">
        <v>4</v>
      </c>
      <c r="L1210" t="s">
        <v>18</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5">
      <c r="A1211" t="s">
        <v>1293</v>
      </c>
      <c r="B1211" t="s">
        <v>31</v>
      </c>
      <c r="C1211">
        <v>6</v>
      </c>
      <c r="D1211">
        <v>30.8</v>
      </c>
      <c r="E1211">
        <v>184.8</v>
      </c>
      <c r="F1211" s="1">
        <v>45705</v>
      </c>
      <c r="G1211" s="1">
        <v>45707</v>
      </c>
      <c r="H1211" t="s">
        <v>8</v>
      </c>
      <c r="I1211" t="s">
        <v>55</v>
      </c>
      <c r="J1211">
        <v>4</v>
      </c>
      <c r="K1211" t="s">
        <v>4</v>
      </c>
      <c r="L1211" t="s">
        <v>18</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5">
      <c r="A1212" t="s">
        <v>1294</v>
      </c>
      <c r="B1212" t="s">
        <v>7</v>
      </c>
      <c r="C1212">
        <v>2</v>
      </c>
      <c r="D1212">
        <v>41.5</v>
      </c>
      <c r="E1212">
        <v>83</v>
      </c>
      <c r="F1212" s="1">
        <v>45705</v>
      </c>
      <c r="G1212" s="1">
        <v>45708</v>
      </c>
      <c r="H1212" t="s">
        <v>74</v>
      </c>
      <c r="I1212" t="s">
        <v>3</v>
      </c>
      <c r="J1212">
        <v>4</v>
      </c>
      <c r="K1212" t="s">
        <v>4</v>
      </c>
      <c r="L1212" t="s">
        <v>18</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5">
      <c r="A1213" t="s">
        <v>1295</v>
      </c>
      <c r="B1213" t="s">
        <v>39</v>
      </c>
      <c r="C1213">
        <v>4</v>
      </c>
      <c r="D1213">
        <v>44.7</v>
      </c>
      <c r="E1213">
        <v>178.8</v>
      </c>
      <c r="F1213" s="1">
        <v>45705</v>
      </c>
      <c r="G1213" s="1">
        <v>45707</v>
      </c>
      <c r="H1213" t="s">
        <v>12</v>
      </c>
      <c r="I1213" t="s">
        <v>25</v>
      </c>
      <c r="J1213">
        <v>3</v>
      </c>
      <c r="K1213" t="s">
        <v>4</v>
      </c>
      <c r="L1213" t="s">
        <v>18</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5">
      <c r="A1214" t="s">
        <v>1296</v>
      </c>
      <c r="B1214" t="s">
        <v>54</v>
      </c>
      <c r="C1214">
        <v>2</v>
      </c>
      <c r="D1214">
        <v>64.099999999999994</v>
      </c>
      <c r="E1214">
        <v>128.19999999999999</v>
      </c>
      <c r="F1214" s="1">
        <v>45705</v>
      </c>
      <c r="G1214" s="1">
        <v>45709</v>
      </c>
      <c r="H1214" t="s">
        <v>12</v>
      </c>
      <c r="I1214" t="s">
        <v>20</v>
      </c>
      <c r="J1214">
        <v>2</v>
      </c>
      <c r="K1214" t="s">
        <v>4</v>
      </c>
      <c r="L1214" t="s">
        <v>18</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5">
      <c r="A1215" t="s">
        <v>1297</v>
      </c>
      <c r="B1215" t="s">
        <v>29</v>
      </c>
      <c r="C1215">
        <v>1</v>
      </c>
      <c r="D1215">
        <v>15.9</v>
      </c>
      <c r="E1215">
        <v>15.9</v>
      </c>
      <c r="F1215" s="1">
        <v>45705</v>
      </c>
      <c r="G1215" s="1">
        <v>45708</v>
      </c>
      <c r="H1215" t="s">
        <v>2</v>
      </c>
      <c r="I1215" t="s">
        <v>20</v>
      </c>
      <c r="J1215">
        <v>4</v>
      </c>
      <c r="K1215" t="s">
        <v>4</v>
      </c>
      <c r="L1215" t="s">
        <v>18</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5">
      <c r="A1216" t="s">
        <v>1298</v>
      </c>
      <c r="B1216" t="s">
        <v>24</v>
      </c>
      <c r="C1216">
        <v>2</v>
      </c>
      <c r="D1216">
        <v>78.7</v>
      </c>
      <c r="E1216">
        <v>157.4</v>
      </c>
      <c r="F1216" s="1">
        <v>45705</v>
      </c>
      <c r="G1216" s="1">
        <v>45705</v>
      </c>
      <c r="H1216" t="s">
        <v>12</v>
      </c>
      <c r="I1216" t="s">
        <v>25</v>
      </c>
      <c r="J1216">
        <v>3</v>
      </c>
      <c r="K1216" t="s">
        <v>4</v>
      </c>
      <c r="L1216" t="s">
        <v>18</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5">
      <c r="A1217" t="s">
        <v>1299</v>
      </c>
      <c r="B1217" t="s">
        <v>22</v>
      </c>
      <c r="C1217">
        <v>12</v>
      </c>
      <c r="D1217">
        <v>29.6</v>
      </c>
      <c r="E1217">
        <v>355.20000000000005</v>
      </c>
      <c r="F1217" s="1">
        <v>45705</v>
      </c>
      <c r="G1217" s="1">
        <v>45709</v>
      </c>
      <c r="H1217" t="s">
        <v>8</v>
      </c>
      <c r="I1217" t="s">
        <v>25</v>
      </c>
      <c r="J1217">
        <v>2</v>
      </c>
      <c r="K1217" t="s">
        <v>4</v>
      </c>
      <c r="L1217" t="s">
        <v>18</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5">
      <c r="A1218" t="s">
        <v>1300</v>
      </c>
      <c r="B1218" t="s">
        <v>29</v>
      </c>
      <c r="C1218">
        <v>4</v>
      </c>
      <c r="D1218">
        <v>21.5</v>
      </c>
      <c r="E1218">
        <v>86</v>
      </c>
      <c r="F1218" s="1">
        <v>45705</v>
      </c>
      <c r="G1218" s="1">
        <v>45708</v>
      </c>
      <c r="H1218" t="s">
        <v>8</v>
      </c>
      <c r="I1218" t="s">
        <v>20</v>
      </c>
      <c r="J1218">
        <v>4</v>
      </c>
      <c r="K1218" t="s">
        <v>4</v>
      </c>
      <c r="L1218" t="s">
        <v>18</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5">
      <c r="A1219" t="s">
        <v>1301</v>
      </c>
      <c r="B1219" t="s">
        <v>31</v>
      </c>
      <c r="C1219">
        <v>3</v>
      </c>
      <c r="D1219">
        <v>74.900000000000006</v>
      </c>
      <c r="E1219">
        <v>224.70000000000002</v>
      </c>
      <c r="F1219" s="1">
        <v>45705</v>
      </c>
      <c r="G1219" s="1">
        <v>45714</v>
      </c>
      <c r="H1219" t="s">
        <v>8</v>
      </c>
      <c r="I1219" t="s">
        <v>36</v>
      </c>
      <c r="J1219">
        <v>3</v>
      </c>
      <c r="K1219" t="s">
        <v>4</v>
      </c>
      <c r="L1219" t="s">
        <v>18</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5">
      <c r="A1220" t="s">
        <v>1302</v>
      </c>
      <c r="B1220" t="s">
        <v>39</v>
      </c>
      <c r="C1220">
        <v>6</v>
      </c>
      <c r="D1220">
        <v>45</v>
      </c>
      <c r="E1220">
        <v>270</v>
      </c>
      <c r="F1220" s="1">
        <v>45705</v>
      </c>
      <c r="G1220" s="1">
        <v>45710</v>
      </c>
      <c r="H1220" t="s">
        <v>12</v>
      </c>
      <c r="I1220" t="s">
        <v>25</v>
      </c>
      <c r="J1220">
        <v>4</v>
      </c>
      <c r="K1220" t="s">
        <v>4</v>
      </c>
      <c r="L1220" t="s">
        <v>18</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5">
      <c r="A1221" t="s">
        <v>1303</v>
      </c>
      <c r="B1221" t="s">
        <v>27</v>
      </c>
      <c r="C1221">
        <v>34</v>
      </c>
      <c r="D1221">
        <v>37.9</v>
      </c>
      <c r="E1221">
        <v>1288.5999999999999</v>
      </c>
      <c r="F1221" s="1">
        <v>45705</v>
      </c>
      <c r="G1221" s="1">
        <v>45706</v>
      </c>
      <c r="H1221" t="s">
        <v>8</v>
      </c>
      <c r="I1221" t="s">
        <v>3</v>
      </c>
      <c r="J1221">
        <v>4</v>
      </c>
      <c r="K1221" t="s">
        <v>4</v>
      </c>
      <c r="L1221" t="s">
        <v>18</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5">
      <c r="A1222" t="s">
        <v>1304</v>
      </c>
      <c r="B1222" t="s">
        <v>24</v>
      </c>
      <c r="C1222">
        <v>3</v>
      </c>
      <c r="D1222">
        <v>56.6</v>
      </c>
      <c r="E1222">
        <v>169.8</v>
      </c>
      <c r="F1222" s="1">
        <v>45705</v>
      </c>
      <c r="G1222" s="1">
        <v>45706</v>
      </c>
      <c r="H1222" t="s">
        <v>8</v>
      </c>
      <c r="I1222" t="s">
        <v>36</v>
      </c>
      <c r="J1222">
        <v>4</v>
      </c>
      <c r="K1222" t="s">
        <v>4</v>
      </c>
      <c r="L1222" t="s">
        <v>18</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5">
      <c r="A1223" t="s">
        <v>1305</v>
      </c>
      <c r="B1223" t="s">
        <v>15</v>
      </c>
      <c r="C1223">
        <v>13</v>
      </c>
      <c r="D1223">
        <v>84.5</v>
      </c>
      <c r="E1223">
        <v>1098.5</v>
      </c>
      <c r="F1223" s="1">
        <v>45705</v>
      </c>
      <c r="G1223" s="1">
        <v>45708</v>
      </c>
      <c r="H1223" t="s">
        <v>12</v>
      </c>
      <c r="I1223" t="s">
        <v>20</v>
      </c>
      <c r="J1223">
        <v>2</v>
      </c>
      <c r="K1223" t="s">
        <v>4</v>
      </c>
      <c r="L1223" t="s">
        <v>18</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5">
      <c r="A1224" t="s">
        <v>1306</v>
      </c>
      <c r="B1224" t="s">
        <v>11</v>
      </c>
      <c r="C1224">
        <v>5</v>
      </c>
      <c r="D1224">
        <v>105.4</v>
      </c>
      <c r="E1224">
        <v>527</v>
      </c>
      <c r="F1224" s="1">
        <v>45705</v>
      </c>
      <c r="G1224" s="1">
        <v>45707</v>
      </c>
      <c r="H1224" t="s">
        <v>12</v>
      </c>
      <c r="I1224" t="s">
        <v>20</v>
      </c>
      <c r="J1224">
        <v>3</v>
      </c>
      <c r="K1224" t="s">
        <v>4</v>
      </c>
      <c r="L1224" t="s">
        <v>18</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5">
      <c r="A1225" t="s">
        <v>1307</v>
      </c>
      <c r="B1225" t="s">
        <v>131</v>
      </c>
      <c r="C1225">
        <v>7</v>
      </c>
      <c r="D1225">
        <v>39.4</v>
      </c>
      <c r="E1225">
        <v>275.8</v>
      </c>
      <c r="F1225" s="1">
        <v>45706</v>
      </c>
      <c r="G1225" s="1">
        <v>45706</v>
      </c>
      <c r="H1225" t="s">
        <v>8</v>
      </c>
      <c r="I1225" t="s">
        <v>20</v>
      </c>
      <c r="J1225">
        <v>4</v>
      </c>
      <c r="K1225" t="s">
        <v>4</v>
      </c>
      <c r="L1225" t="s">
        <v>349</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5">
      <c r="A1226" t="s">
        <v>1308</v>
      </c>
      <c r="B1226" t="s">
        <v>156</v>
      </c>
      <c r="C1226">
        <v>3</v>
      </c>
      <c r="D1226">
        <v>38</v>
      </c>
      <c r="E1226">
        <v>114</v>
      </c>
      <c r="F1226" s="1">
        <v>45706</v>
      </c>
      <c r="G1226" s="1">
        <v>45709</v>
      </c>
      <c r="H1226" t="s">
        <v>8</v>
      </c>
      <c r="I1226" t="s">
        <v>55</v>
      </c>
      <c r="J1226">
        <v>3</v>
      </c>
      <c r="K1226" t="s">
        <v>4</v>
      </c>
      <c r="L1226" t="s">
        <v>40</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5">
      <c r="A1227" t="s">
        <v>1309</v>
      </c>
      <c r="B1227" t="s">
        <v>120</v>
      </c>
      <c r="C1227">
        <v>4</v>
      </c>
      <c r="D1227">
        <v>42.5</v>
      </c>
      <c r="E1227">
        <v>170</v>
      </c>
      <c r="F1227" s="1">
        <v>45706</v>
      </c>
      <c r="G1227" s="1">
        <v>45708</v>
      </c>
      <c r="H1227" t="s">
        <v>2</v>
      </c>
      <c r="I1227" t="s">
        <v>3</v>
      </c>
      <c r="J1227">
        <v>4</v>
      </c>
      <c r="K1227" t="s">
        <v>4</v>
      </c>
      <c r="L1227" t="s">
        <v>40</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5">
      <c r="A1228" t="s">
        <v>1310</v>
      </c>
      <c r="B1228" t="s">
        <v>108</v>
      </c>
      <c r="C1228">
        <v>1</v>
      </c>
      <c r="D1228">
        <v>62.3</v>
      </c>
      <c r="E1228">
        <v>62.3</v>
      </c>
      <c r="F1228" s="1">
        <v>45706</v>
      </c>
      <c r="G1228" s="1">
        <v>45715</v>
      </c>
      <c r="H1228" t="s">
        <v>8</v>
      </c>
      <c r="I1228" t="s">
        <v>3</v>
      </c>
      <c r="J1228">
        <v>5</v>
      </c>
      <c r="K1228" t="s">
        <v>4</v>
      </c>
      <c r="L1228" t="s">
        <v>40</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5">
      <c r="A1229" t="s">
        <v>1311</v>
      </c>
      <c r="B1229" t="s">
        <v>24</v>
      </c>
      <c r="C1229">
        <v>5</v>
      </c>
      <c r="D1229">
        <v>49.1</v>
      </c>
      <c r="E1229">
        <v>245.5</v>
      </c>
      <c r="F1229" s="1">
        <v>45706</v>
      </c>
      <c r="G1229" s="1">
        <v>45708</v>
      </c>
      <c r="H1229" t="s">
        <v>12</v>
      </c>
      <c r="I1229" t="s">
        <v>20</v>
      </c>
      <c r="J1229">
        <v>5</v>
      </c>
      <c r="K1229" t="s">
        <v>4</v>
      </c>
      <c r="L1229" t="s">
        <v>44</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5">
      <c r="A1230" t="s">
        <v>1312</v>
      </c>
      <c r="B1230" t="s">
        <v>15</v>
      </c>
      <c r="C1230">
        <v>2</v>
      </c>
      <c r="D1230">
        <v>30.5</v>
      </c>
      <c r="E1230">
        <v>61</v>
      </c>
      <c r="F1230" s="1">
        <v>45706</v>
      </c>
      <c r="G1230" s="1">
        <v>45709</v>
      </c>
      <c r="H1230" t="s">
        <v>8</v>
      </c>
      <c r="I1230" t="s">
        <v>3</v>
      </c>
      <c r="J1230">
        <v>5</v>
      </c>
      <c r="K1230" t="s">
        <v>4</v>
      </c>
      <c r="L1230" t="s">
        <v>47</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5">
      <c r="A1231" t="s">
        <v>1313</v>
      </c>
      <c r="B1231" t="s">
        <v>11</v>
      </c>
      <c r="C1231">
        <v>2</v>
      </c>
      <c r="D1231">
        <v>154.80000000000001</v>
      </c>
      <c r="E1231">
        <v>309.60000000000002</v>
      </c>
      <c r="F1231" s="1">
        <v>45706</v>
      </c>
      <c r="G1231" s="1">
        <v>45709</v>
      </c>
      <c r="H1231" t="s">
        <v>12</v>
      </c>
      <c r="I1231" t="s">
        <v>20</v>
      </c>
      <c r="J1231">
        <v>2</v>
      </c>
      <c r="K1231" t="s">
        <v>4</v>
      </c>
      <c r="L1231" t="s">
        <v>47</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5">
      <c r="A1232" t="s">
        <v>1314</v>
      </c>
      <c r="B1232" t="s">
        <v>24</v>
      </c>
      <c r="C1232">
        <v>1</v>
      </c>
      <c r="D1232">
        <v>45</v>
      </c>
      <c r="E1232">
        <v>45</v>
      </c>
      <c r="F1232" s="1">
        <v>45706</v>
      </c>
      <c r="G1232" s="1">
        <v>45710</v>
      </c>
      <c r="H1232" t="s">
        <v>8</v>
      </c>
      <c r="I1232" t="s">
        <v>36</v>
      </c>
      <c r="J1232">
        <v>3</v>
      </c>
      <c r="K1232" t="s">
        <v>4</v>
      </c>
      <c r="L1232" t="s">
        <v>47</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5">
      <c r="A1233" t="s">
        <v>1315</v>
      </c>
      <c r="B1233" t="s">
        <v>1</v>
      </c>
      <c r="C1233">
        <v>7</v>
      </c>
      <c r="D1233">
        <v>15.3</v>
      </c>
      <c r="E1233">
        <v>107.10000000000001</v>
      </c>
      <c r="F1233" s="1">
        <v>45706</v>
      </c>
      <c r="G1233" s="1">
        <v>45707</v>
      </c>
      <c r="H1233" t="s">
        <v>8</v>
      </c>
      <c r="I1233" t="s">
        <v>3</v>
      </c>
      <c r="J1233">
        <v>5</v>
      </c>
      <c r="K1233" t="s">
        <v>4</v>
      </c>
      <c r="L1233" t="s">
        <v>47</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5">
      <c r="A1234" t="s">
        <v>1316</v>
      </c>
      <c r="B1234" t="s">
        <v>11</v>
      </c>
      <c r="C1234">
        <v>11</v>
      </c>
      <c r="D1234">
        <v>88.6</v>
      </c>
      <c r="E1234">
        <v>974.59999999999991</v>
      </c>
      <c r="F1234" s="1">
        <v>45706</v>
      </c>
      <c r="G1234" s="1">
        <v>45709</v>
      </c>
      <c r="H1234" t="s">
        <v>12</v>
      </c>
      <c r="I1234" t="s">
        <v>3</v>
      </c>
      <c r="J1234">
        <v>2</v>
      </c>
      <c r="K1234" t="s">
        <v>4</v>
      </c>
      <c r="L1234" t="s">
        <v>88</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5">
      <c r="A1235" t="s">
        <v>1317</v>
      </c>
      <c r="B1235" t="s">
        <v>31</v>
      </c>
      <c r="C1235">
        <v>2</v>
      </c>
      <c r="D1235">
        <v>49.7</v>
      </c>
      <c r="E1235">
        <v>99.4</v>
      </c>
      <c r="F1235" s="1">
        <v>45706</v>
      </c>
      <c r="G1235" s="1">
        <v>45708</v>
      </c>
      <c r="H1235" t="s">
        <v>74</v>
      </c>
      <c r="I1235" t="s">
        <v>55</v>
      </c>
      <c r="J1235">
        <v>4</v>
      </c>
      <c r="K1235" t="s">
        <v>4</v>
      </c>
      <c r="L1235" t="s">
        <v>59</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5">
      <c r="A1236" t="s">
        <v>1318</v>
      </c>
      <c r="B1236" t="s">
        <v>39</v>
      </c>
      <c r="C1236">
        <v>1</v>
      </c>
      <c r="D1236">
        <v>29</v>
      </c>
      <c r="E1236">
        <v>29</v>
      </c>
      <c r="F1236" s="1">
        <v>45706</v>
      </c>
      <c r="G1236" s="1">
        <v>45707</v>
      </c>
      <c r="H1236" t="s">
        <v>8</v>
      </c>
      <c r="I1236" t="s">
        <v>3</v>
      </c>
      <c r="J1236">
        <v>4</v>
      </c>
      <c r="K1236" t="s">
        <v>4</v>
      </c>
      <c r="L1236" t="s">
        <v>62</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5">
      <c r="A1237" t="s">
        <v>1319</v>
      </c>
      <c r="B1237" t="s">
        <v>7</v>
      </c>
      <c r="C1237">
        <v>1</v>
      </c>
      <c r="D1237">
        <v>60.7</v>
      </c>
      <c r="E1237">
        <v>60.7</v>
      </c>
      <c r="F1237" s="1">
        <v>45706</v>
      </c>
      <c r="G1237" s="1">
        <v>45707</v>
      </c>
      <c r="H1237" t="s">
        <v>74</v>
      </c>
      <c r="I1237" t="s">
        <v>3</v>
      </c>
      <c r="J1237">
        <v>3</v>
      </c>
      <c r="K1237" t="s">
        <v>4</v>
      </c>
      <c r="L1237" t="s">
        <v>62</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5">
      <c r="A1238" t="s">
        <v>1320</v>
      </c>
      <c r="B1238" t="s">
        <v>120</v>
      </c>
      <c r="C1238">
        <v>4</v>
      </c>
      <c r="D1238">
        <v>87.4</v>
      </c>
      <c r="E1238">
        <v>349.6</v>
      </c>
      <c r="F1238" s="1">
        <v>45706</v>
      </c>
      <c r="G1238" s="1">
        <v>45708</v>
      </c>
      <c r="H1238" t="s">
        <v>2</v>
      </c>
      <c r="I1238" t="s">
        <v>3</v>
      </c>
      <c r="J1238">
        <v>4</v>
      </c>
      <c r="K1238" t="s">
        <v>4</v>
      </c>
      <c r="L1238" t="s">
        <v>62</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5">
      <c r="A1239" t="s">
        <v>1321</v>
      </c>
      <c r="B1239" t="s">
        <v>17</v>
      </c>
      <c r="C1239">
        <v>7</v>
      </c>
      <c r="D1239">
        <v>44.5</v>
      </c>
      <c r="E1239">
        <v>311.5</v>
      </c>
      <c r="F1239" s="1">
        <v>45706</v>
      </c>
      <c r="G1239" s="1">
        <v>45710</v>
      </c>
      <c r="H1239" t="s">
        <v>12</v>
      </c>
      <c r="I1239" t="s">
        <v>25</v>
      </c>
      <c r="J1239">
        <v>5</v>
      </c>
      <c r="K1239" t="s">
        <v>4</v>
      </c>
      <c r="L1239" t="s">
        <v>95</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5">
      <c r="A1240" t="s">
        <v>1322</v>
      </c>
      <c r="B1240" t="s">
        <v>11</v>
      </c>
      <c r="C1240">
        <v>1</v>
      </c>
      <c r="D1240">
        <v>141</v>
      </c>
      <c r="E1240">
        <v>141</v>
      </c>
      <c r="F1240" s="1">
        <v>45706</v>
      </c>
      <c r="G1240" s="1">
        <v>45707</v>
      </c>
      <c r="H1240" t="s">
        <v>8</v>
      </c>
      <c r="I1240" t="s">
        <v>55</v>
      </c>
      <c r="J1240">
        <v>5</v>
      </c>
      <c r="K1240" t="s">
        <v>4</v>
      </c>
      <c r="L1240" t="s">
        <v>95</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5">
      <c r="A1241" t="s">
        <v>1323</v>
      </c>
      <c r="B1241" t="s">
        <v>1</v>
      </c>
      <c r="C1241">
        <v>3</v>
      </c>
      <c r="D1241">
        <v>16.7</v>
      </c>
      <c r="E1241">
        <v>50.099999999999994</v>
      </c>
      <c r="F1241" s="1">
        <v>45706</v>
      </c>
      <c r="G1241" s="1">
        <v>45714</v>
      </c>
      <c r="H1241" t="s">
        <v>12</v>
      </c>
      <c r="I1241" t="s">
        <v>3</v>
      </c>
      <c r="J1241">
        <v>4</v>
      </c>
      <c r="K1241" t="s">
        <v>4</v>
      </c>
      <c r="L1241" t="s">
        <v>98</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5">
      <c r="A1242" t="s">
        <v>1324</v>
      </c>
      <c r="B1242" t="s">
        <v>7</v>
      </c>
      <c r="C1242">
        <v>2</v>
      </c>
      <c r="D1242">
        <v>77.5</v>
      </c>
      <c r="E1242">
        <v>155</v>
      </c>
      <c r="F1242" s="1">
        <v>45706</v>
      </c>
      <c r="G1242" s="1">
        <v>45707</v>
      </c>
      <c r="H1242" t="s">
        <v>2</v>
      </c>
      <c r="I1242" t="s">
        <v>25</v>
      </c>
      <c r="J1242">
        <v>5</v>
      </c>
      <c r="K1242" t="s">
        <v>4</v>
      </c>
      <c r="L1242" t="s">
        <v>67</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5">
      <c r="A1243" t="s">
        <v>1325</v>
      </c>
      <c r="B1243" t="s">
        <v>11</v>
      </c>
      <c r="C1243">
        <v>2</v>
      </c>
      <c r="D1243">
        <v>163</v>
      </c>
      <c r="E1243">
        <v>326</v>
      </c>
      <c r="F1243" s="1">
        <v>45706</v>
      </c>
      <c r="G1243" s="1">
        <v>45712</v>
      </c>
      <c r="H1243" t="s">
        <v>12</v>
      </c>
      <c r="I1243" t="s">
        <v>55</v>
      </c>
      <c r="J1243">
        <v>4</v>
      </c>
      <c r="K1243" t="s">
        <v>4</v>
      </c>
      <c r="L1243" t="s">
        <v>100</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5">
      <c r="A1244" t="s">
        <v>1326</v>
      </c>
      <c r="B1244" t="s">
        <v>17</v>
      </c>
      <c r="C1244">
        <v>9</v>
      </c>
      <c r="D1244">
        <v>21.4</v>
      </c>
      <c r="E1244">
        <v>192.6</v>
      </c>
      <c r="F1244" s="1">
        <v>45706</v>
      </c>
      <c r="G1244" s="1">
        <v>45709</v>
      </c>
      <c r="H1244" t="s">
        <v>12</v>
      </c>
      <c r="I1244" t="s">
        <v>3</v>
      </c>
      <c r="J1244">
        <v>4</v>
      </c>
      <c r="K1244" t="s">
        <v>4</v>
      </c>
      <c r="L1244" t="s">
        <v>952</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5">
      <c r="A1245" t="s">
        <v>1327</v>
      </c>
      <c r="B1245" t="s">
        <v>39</v>
      </c>
      <c r="C1245">
        <v>11</v>
      </c>
      <c r="D1245">
        <v>31</v>
      </c>
      <c r="E1245">
        <v>341</v>
      </c>
      <c r="F1245" s="1">
        <v>45706</v>
      </c>
      <c r="G1245" s="1">
        <v>45708</v>
      </c>
      <c r="H1245" t="s">
        <v>12</v>
      </c>
      <c r="I1245" t="s">
        <v>36</v>
      </c>
      <c r="J1245">
        <v>5</v>
      </c>
      <c r="K1245" t="s">
        <v>4</v>
      </c>
      <c r="L1245" t="s">
        <v>9</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5">
      <c r="A1246" t="s">
        <v>1328</v>
      </c>
      <c r="B1246" t="s">
        <v>27</v>
      </c>
      <c r="C1246">
        <v>2</v>
      </c>
      <c r="D1246">
        <v>34.299999999999997</v>
      </c>
      <c r="E1246">
        <v>68.599999999999994</v>
      </c>
      <c r="F1246" s="1">
        <v>45706</v>
      </c>
      <c r="G1246" s="1">
        <v>45708</v>
      </c>
      <c r="H1246" t="s">
        <v>12</v>
      </c>
      <c r="I1246" t="s">
        <v>3</v>
      </c>
      <c r="J1246">
        <v>1</v>
      </c>
      <c r="K1246" t="s">
        <v>4</v>
      </c>
      <c r="L1246" t="s">
        <v>9</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5">
      <c r="A1247" t="s">
        <v>1329</v>
      </c>
      <c r="B1247" t="s">
        <v>120</v>
      </c>
      <c r="C1247">
        <v>5</v>
      </c>
      <c r="D1247">
        <v>48.2</v>
      </c>
      <c r="E1247">
        <v>241</v>
      </c>
      <c r="F1247" s="1">
        <v>45706</v>
      </c>
      <c r="G1247" s="1">
        <v>45707</v>
      </c>
      <c r="H1247" t="s">
        <v>8</v>
      </c>
      <c r="I1247" t="s">
        <v>20</v>
      </c>
      <c r="J1247">
        <v>3</v>
      </c>
      <c r="K1247" t="s">
        <v>4</v>
      </c>
      <c r="L1247" t="s">
        <v>13</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5">
      <c r="A1248" t="s">
        <v>1330</v>
      </c>
      <c r="B1248" t="s">
        <v>39</v>
      </c>
      <c r="C1248">
        <v>1</v>
      </c>
      <c r="D1248">
        <v>51.4</v>
      </c>
      <c r="E1248">
        <v>51.4</v>
      </c>
      <c r="F1248" s="1">
        <v>45706</v>
      </c>
      <c r="G1248" s="1">
        <v>45707</v>
      </c>
      <c r="H1248" t="s">
        <v>8</v>
      </c>
      <c r="I1248" t="s">
        <v>3</v>
      </c>
      <c r="J1248">
        <v>4</v>
      </c>
      <c r="K1248" t="s">
        <v>4</v>
      </c>
      <c r="L1248" t="s">
        <v>18</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5">
      <c r="A1249" t="s">
        <v>1331</v>
      </c>
      <c r="B1249" t="s">
        <v>11</v>
      </c>
      <c r="C1249">
        <v>5</v>
      </c>
      <c r="D1249">
        <v>117.2</v>
      </c>
      <c r="E1249">
        <v>586</v>
      </c>
      <c r="F1249" s="1">
        <v>45706</v>
      </c>
      <c r="G1249" s="1">
        <v>45709</v>
      </c>
      <c r="H1249" t="s">
        <v>12</v>
      </c>
      <c r="I1249" t="s">
        <v>55</v>
      </c>
      <c r="J1249">
        <v>2</v>
      </c>
      <c r="K1249" t="s">
        <v>4</v>
      </c>
      <c r="L1249" t="s">
        <v>18</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5">
      <c r="A1250" t="s">
        <v>1332</v>
      </c>
      <c r="B1250" t="s">
        <v>29</v>
      </c>
      <c r="C1250">
        <v>1</v>
      </c>
      <c r="D1250">
        <v>38.1</v>
      </c>
      <c r="E1250">
        <v>38.1</v>
      </c>
      <c r="F1250" s="1">
        <v>45706</v>
      </c>
      <c r="G1250" s="1">
        <v>45706</v>
      </c>
      <c r="H1250" t="s">
        <v>8</v>
      </c>
      <c r="I1250" t="s">
        <v>55</v>
      </c>
      <c r="J1250">
        <v>3</v>
      </c>
      <c r="K1250" t="s">
        <v>4</v>
      </c>
      <c r="L1250" t="s">
        <v>18</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5">
      <c r="A1251" t="s">
        <v>1333</v>
      </c>
      <c r="B1251" t="s">
        <v>1</v>
      </c>
      <c r="C1251">
        <v>2</v>
      </c>
      <c r="D1251">
        <v>44.1</v>
      </c>
      <c r="E1251">
        <v>88.2</v>
      </c>
      <c r="F1251" s="1">
        <v>45706</v>
      </c>
      <c r="G1251" s="1">
        <v>45708</v>
      </c>
      <c r="H1251" t="s">
        <v>12</v>
      </c>
      <c r="I1251" t="s">
        <v>25</v>
      </c>
      <c r="J1251">
        <v>4</v>
      </c>
      <c r="K1251" t="s">
        <v>4</v>
      </c>
      <c r="L1251" t="s">
        <v>18</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5">
      <c r="A1252" t="s">
        <v>1334</v>
      </c>
      <c r="B1252" t="s">
        <v>108</v>
      </c>
      <c r="C1252">
        <v>4</v>
      </c>
      <c r="D1252">
        <v>80.5</v>
      </c>
      <c r="E1252">
        <v>322</v>
      </c>
      <c r="F1252" s="1">
        <v>45706</v>
      </c>
      <c r="G1252" s="1">
        <v>45711</v>
      </c>
      <c r="H1252" t="s">
        <v>8</v>
      </c>
      <c r="I1252" t="s">
        <v>3</v>
      </c>
      <c r="J1252">
        <v>4</v>
      </c>
      <c r="K1252" t="s">
        <v>4</v>
      </c>
      <c r="L1252" t="s">
        <v>18</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5">
      <c r="A1253" t="s">
        <v>1335</v>
      </c>
      <c r="B1253" t="s">
        <v>131</v>
      </c>
      <c r="C1253">
        <v>4</v>
      </c>
      <c r="D1253">
        <v>33.6</v>
      </c>
      <c r="E1253">
        <v>134.4</v>
      </c>
      <c r="F1253" s="1">
        <v>45706</v>
      </c>
      <c r="G1253" s="1">
        <v>45711</v>
      </c>
      <c r="H1253" t="s">
        <v>2</v>
      </c>
      <c r="I1253" t="s">
        <v>3</v>
      </c>
      <c r="J1253">
        <v>5</v>
      </c>
      <c r="K1253" t="s">
        <v>4</v>
      </c>
      <c r="L1253" t="s">
        <v>18</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5">
      <c r="A1254" t="s">
        <v>1336</v>
      </c>
      <c r="B1254" t="s">
        <v>31</v>
      </c>
      <c r="C1254">
        <v>9</v>
      </c>
      <c r="D1254">
        <v>41.8</v>
      </c>
      <c r="E1254">
        <v>376.2</v>
      </c>
      <c r="F1254" s="1">
        <v>45706</v>
      </c>
      <c r="G1254" s="1">
        <v>45707</v>
      </c>
      <c r="H1254" t="s">
        <v>12</v>
      </c>
      <c r="I1254" t="s">
        <v>3</v>
      </c>
      <c r="J1254">
        <v>3</v>
      </c>
      <c r="K1254" t="s">
        <v>4</v>
      </c>
      <c r="L1254" t="s">
        <v>18</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5">
      <c r="A1255" t="s">
        <v>1337</v>
      </c>
      <c r="B1255" t="s">
        <v>7</v>
      </c>
      <c r="C1255">
        <v>2</v>
      </c>
      <c r="D1255">
        <v>106.2</v>
      </c>
      <c r="E1255">
        <v>212.4</v>
      </c>
      <c r="F1255" s="1">
        <v>45706</v>
      </c>
      <c r="G1255" s="1">
        <v>45706</v>
      </c>
      <c r="H1255" t="s">
        <v>12</v>
      </c>
      <c r="I1255" t="s">
        <v>55</v>
      </c>
      <c r="J1255">
        <v>5</v>
      </c>
      <c r="K1255" t="s">
        <v>4</v>
      </c>
      <c r="L1255" t="s">
        <v>18</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5">
      <c r="A1256" t="s">
        <v>1338</v>
      </c>
      <c r="B1256" t="s">
        <v>7</v>
      </c>
      <c r="C1256">
        <v>2</v>
      </c>
      <c r="D1256">
        <v>52.6</v>
      </c>
      <c r="E1256">
        <v>105.2</v>
      </c>
      <c r="F1256" s="1">
        <v>45706</v>
      </c>
      <c r="G1256" s="1">
        <v>45707</v>
      </c>
      <c r="H1256" t="s">
        <v>12</v>
      </c>
      <c r="I1256" t="s">
        <v>3</v>
      </c>
      <c r="J1256">
        <v>5</v>
      </c>
      <c r="K1256" t="s">
        <v>4</v>
      </c>
      <c r="L1256" t="s">
        <v>37</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5">
      <c r="A1257" t="s">
        <v>1339</v>
      </c>
      <c r="B1257" t="s">
        <v>52</v>
      </c>
      <c r="C1257">
        <v>7</v>
      </c>
      <c r="D1257">
        <v>68.5</v>
      </c>
      <c r="E1257">
        <v>479.5</v>
      </c>
      <c r="F1257" s="1">
        <v>45706</v>
      </c>
      <c r="G1257" s="1">
        <v>45707</v>
      </c>
      <c r="H1257" t="s">
        <v>12</v>
      </c>
      <c r="I1257" t="s">
        <v>20</v>
      </c>
      <c r="J1257">
        <v>4</v>
      </c>
      <c r="K1257" t="s">
        <v>4</v>
      </c>
      <c r="L1257" t="s">
        <v>37</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5">
      <c r="A1258" t="s">
        <v>1340</v>
      </c>
      <c r="B1258" t="s">
        <v>7</v>
      </c>
      <c r="C1258">
        <v>2</v>
      </c>
      <c r="D1258">
        <v>55.6</v>
      </c>
      <c r="E1258">
        <v>111.2</v>
      </c>
      <c r="F1258" s="1">
        <v>45706</v>
      </c>
      <c r="G1258" s="1">
        <v>45708</v>
      </c>
      <c r="H1258" t="s">
        <v>8</v>
      </c>
      <c r="I1258" t="s">
        <v>20</v>
      </c>
      <c r="J1258">
        <v>5</v>
      </c>
      <c r="K1258" t="s">
        <v>4</v>
      </c>
      <c r="L1258" t="s">
        <v>40</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5">
      <c r="A1259" t="s">
        <v>1341</v>
      </c>
      <c r="B1259" t="s">
        <v>11</v>
      </c>
      <c r="C1259">
        <v>3</v>
      </c>
      <c r="D1259">
        <v>134.9</v>
      </c>
      <c r="E1259">
        <v>404.70000000000005</v>
      </c>
      <c r="F1259" s="1">
        <v>45706</v>
      </c>
      <c r="G1259" s="1">
        <v>45707</v>
      </c>
      <c r="H1259" t="s">
        <v>8</v>
      </c>
      <c r="I1259" t="s">
        <v>20</v>
      </c>
      <c r="J1259">
        <v>3</v>
      </c>
      <c r="K1259" t="s">
        <v>4</v>
      </c>
      <c r="L1259" t="s">
        <v>40</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5">
      <c r="A1260" t="s">
        <v>1342</v>
      </c>
      <c r="B1260" t="s">
        <v>39</v>
      </c>
      <c r="C1260">
        <v>5</v>
      </c>
      <c r="D1260">
        <v>42.6</v>
      </c>
      <c r="E1260">
        <v>213</v>
      </c>
      <c r="F1260" s="1">
        <v>45706</v>
      </c>
      <c r="G1260" s="1">
        <v>45707</v>
      </c>
      <c r="H1260" t="s">
        <v>8</v>
      </c>
      <c r="I1260" t="s">
        <v>3</v>
      </c>
      <c r="J1260">
        <v>4</v>
      </c>
      <c r="K1260" t="s">
        <v>4</v>
      </c>
      <c r="L1260" t="s">
        <v>40</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5">
      <c r="A1261" t="s">
        <v>1343</v>
      </c>
      <c r="B1261" t="s">
        <v>27</v>
      </c>
      <c r="C1261">
        <v>5</v>
      </c>
      <c r="D1261">
        <v>60.6</v>
      </c>
      <c r="E1261">
        <v>303</v>
      </c>
      <c r="F1261" s="1">
        <v>45706</v>
      </c>
      <c r="G1261" s="1">
        <v>45708</v>
      </c>
      <c r="H1261" t="s">
        <v>8</v>
      </c>
      <c r="I1261" t="s">
        <v>55</v>
      </c>
      <c r="J1261">
        <v>4</v>
      </c>
      <c r="K1261" t="s">
        <v>4</v>
      </c>
      <c r="L1261" t="s">
        <v>40</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5">
      <c r="A1262" t="s">
        <v>1344</v>
      </c>
      <c r="B1262" t="s">
        <v>29</v>
      </c>
      <c r="C1262">
        <v>2</v>
      </c>
      <c r="D1262">
        <v>43.5</v>
      </c>
      <c r="E1262">
        <v>87</v>
      </c>
      <c r="F1262" s="1">
        <v>45706</v>
      </c>
      <c r="G1262" s="1">
        <v>45707</v>
      </c>
      <c r="H1262" t="s">
        <v>8</v>
      </c>
      <c r="I1262" t="s">
        <v>55</v>
      </c>
      <c r="J1262">
        <v>4</v>
      </c>
      <c r="K1262" t="s">
        <v>4</v>
      </c>
      <c r="L1262" t="s">
        <v>44</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5">
      <c r="A1263" t="s">
        <v>1345</v>
      </c>
      <c r="B1263" t="s">
        <v>11</v>
      </c>
      <c r="C1263">
        <v>2</v>
      </c>
      <c r="D1263">
        <v>187.1</v>
      </c>
      <c r="E1263">
        <v>374.2</v>
      </c>
      <c r="F1263" s="1">
        <v>45706</v>
      </c>
      <c r="G1263" s="1">
        <v>45707</v>
      </c>
      <c r="H1263" t="s">
        <v>8</v>
      </c>
      <c r="I1263" t="s">
        <v>20</v>
      </c>
      <c r="J1263">
        <v>5</v>
      </c>
      <c r="K1263" t="s">
        <v>4</v>
      </c>
      <c r="L1263" t="s">
        <v>47</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5">
      <c r="A1264" t="s">
        <v>1346</v>
      </c>
      <c r="B1264" t="s">
        <v>31</v>
      </c>
      <c r="C1264">
        <v>3</v>
      </c>
      <c r="D1264">
        <v>32</v>
      </c>
      <c r="E1264">
        <v>96</v>
      </c>
      <c r="F1264" s="1">
        <v>45706</v>
      </c>
      <c r="G1264" s="1">
        <v>45708</v>
      </c>
      <c r="H1264" t="s">
        <v>8</v>
      </c>
      <c r="I1264" t="s">
        <v>3</v>
      </c>
      <c r="J1264">
        <v>4</v>
      </c>
      <c r="K1264" t="s">
        <v>4</v>
      </c>
      <c r="L1264" t="s">
        <v>47</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5">
      <c r="A1265" t="s">
        <v>1347</v>
      </c>
      <c r="B1265" t="s">
        <v>31</v>
      </c>
      <c r="C1265">
        <v>2</v>
      </c>
      <c r="D1265">
        <v>110.8</v>
      </c>
      <c r="E1265">
        <v>221.6</v>
      </c>
      <c r="F1265" s="1">
        <v>45706</v>
      </c>
      <c r="G1265" s="1">
        <v>45706</v>
      </c>
      <c r="H1265" t="s">
        <v>8</v>
      </c>
      <c r="I1265" t="s">
        <v>3</v>
      </c>
      <c r="J1265">
        <v>5</v>
      </c>
      <c r="K1265" t="s">
        <v>4</v>
      </c>
      <c r="L1265" t="s">
        <v>47</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5">
      <c r="A1266" t="s">
        <v>1348</v>
      </c>
      <c r="B1266" t="s">
        <v>39</v>
      </c>
      <c r="C1266">
        <v>13</v>
      </c>
      <c r="D1266">
        <v>36.1</v>
      </c>
      <c r="E1266">
        <v>469.3</v>
      </c>
      <c r="F1266" s="1">
        <v>45706</v>
      </c>
      <c r="G1266" s="1">
        <v>45709</v>
      </c>
      <c r="H1266" t="s">
        <v>12</v>
      </c>
      <c r="I1266" t="s">
        <v>3</v>
      </c>
      <c r="J1266">
        <v>3</v>
      </c>
      <c r="K1266" t="s">
        <v>4</v>
      </c>
      <c r="L1266" t="s">
        <v>47</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5">
      <c r="A1267" t="s">
        <v>1349</v>
      </c>
      <c r="B1267" t="s">
        <v>1</v>
      </c>
      <c r="C1267">
        <v>1</v>
      </c>
      <c r="D1267">
        <v>24.1</v>
      </c>
      <c r="E1267">
        <v>24.1</v>
      </c>
      <c r="F1267" s="1">
        <v>45706</v>
      </c>
      <c r="G1267" s="1">
        <v>45708</v>
      </c>
      <c r="H1267" t="s">
        <v>12</v>
      </c>
      <c r="I1267" t="s">
        <v>55</v>
      </c>
      <c r="J1267">
        <v>5</v>
      </c>
      <c r="K1267" t="s">
        <v>4</v>
      </c>
      <c r="L1267" t="s">
        <v>47</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5">
      <c r="A1268" t="s">
        <v>1350</v>
      </c>
      <c r="B1268" t="s">
        <v>156</v>
      </c>
      <c r="C1268">
        <v>3</v>
      </c>
      <c r="D1268">
        <v>30.5</v>
      </c>
      <c r="E1268">
        <v>91.5</v>
      </c>
      <c r="F1268" s="1">
        <v>45706</v>
      </c>
      <c r="G1268" s="1">
        <v>45708</v>
      </c>
      <c r="H1268" t="s">
        <v>8</v>
      </c>
      <c r="I1268" t="s">
        <v>20</v>
      </c>
      <c r="J1268">
        <v>4</v>
      </c>
      <c r="K1268" t="s">
        <v>4</v>
      </c>
      <c r="L1268" t="s">
        <v>47</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5">
      <c r="A1269" t="s">
        <v>1351</v>
      </c>
      <c r="B1269" t="s">
        <v>131</v>
      </c>
      <c r="C1269">
        <v>6</v>
      </c>
      <c r="D1269">
        <v>68.3</v>
      </c>
      <c r="E1269">
        <v>409.79999999999995</v>
      </c>
      <c r="F1269" s="1">
        <v>45706</v>
      </c>
      <c r="G1269" s="1">
        <v>45709</v>
      </c>
      <c r="H1269" t="s">
        <v>8</v>
      </c>
      <c r="I1269" t="s">
        <v>3</v>
      </c>
      <c r="J1269">
        <v>4</v>
      </c>
      <c r="K1269" t="s">
        <v>4</v>
      </c>
      <c r="L1269" t="s">
        <v>47</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5">
      <c r="A1270" t="s">
        <v>1352</v>
      </c>
      <c r="B1270" t="s">
        <v>27</v>
      </c>
      <c r="C1270">
        <v>3</v>
      </c>
      <c r="D1270">
        <v>43.3</v>
      </c>
      <c r="E1270">
        <v>129.89999999999998</v>
      </c>
      <c r="F1270" s="1">
        <v>45706</v>
      </c>
      <c r="G1270" s="1">
        <v>45710</v>
      </c>
      <c r="H1270" t="s">
        <v>12</v>
      </c>
      <c r="I1270" t="s">
        <v>3</v>
      </c>
      <c r="J1270">
        <v>4</v>
      </c>
      <c r="K1270" t="s">
        <v>4</v>
      </c>
      <c r="L1270" t="s">
        <v>88</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5">
      <c r="A1271" t="s">
        <v>1353</v>
      </c>
      <c r="B1271" t="s">
        <v>15</v>
      </c>
      <c r="C1271">
        <v>1</v>
      </c>
      <c r="D1271">
        <v>101.7</v>
      </c>
      <c r="E1271">
        <v>101.7</v>
      </c>
      <c r="F1271" s="1">
        <v>45706</v>
      </c>
      <c r="G1271" s="1">
        <v>45709</v>
      </c>
      <c r="H1271" t="s">
        <v>12</v>
      </c>
      <c r="I1271" t="s">
        <v>3</v>
      </c>
      <c r="J1271">
        <v>3</v>
      </c>
      <c r="K1271" t="s">
        <v>4</v>
      </c>
      <c r="L1271" t="s">
        <v>88</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5">
      <c r="A1272" t="s">
        <v>1354</v>
      </c>
      <c r="B1272" t="s">
        <v>52</v>
      </c>
      <c r="C1272">
        <v>2</v>
      </c>
      <c r="D1272">
        <v>54.2</v>
      </c>
      <c r="E1272">
        <v>108.4</v>
      </c>
      <c r="F1272" s="1">
        <v>45706</v>
      </c>
      <c r="G1272" s="1">
        <v>45707</v>
      </c>
      <c r="H1272" t="s">
        <v>12</v>
      </c>
      <c r="I1272" t="s">
        <v>3</v>
      </c>
      <c r="J1272">
        <v>3</v>
      </c>
      <c r="K1272" t="s">
        <v>4</v>
      </c>
      <c r="L1272" t="s">
        <v>88</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5">
      <c r="A1273" t="s">
        <v>1355</v>
      </c>
      <c r="B1273" t="s">
        <v>113</v>
      </c>
      <c r="C1273">
        <v>2</v>
      </c>
      <c r="D1273">
        <v>51</v>
      </c>
      <c r="E1273">
        <v>102</v>
      </c>
      <c r="F1273" s="1">
        <v>45706</v>
      </c>
      <c r="G1273" s="1">
        <v>45706</v>
      </c>
      <c r="H1273" t="s">
        <v>8</v>
      </c>
      <c r="I1273" t="s">
        <v>20</v>
      </c>
      <c r="J1273">
        <v>4</v>
      </c>
      <c r="K1273" t="s">
        <v>4</v>
      </c>
      <c r="L1273" t="s">
        <v>186</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5">
      <c r="A1274" t="s">
        <v>1356</v>
      </c>
      <c r="B1274" t="s">
        <v>17</v>
      </c>
      <c r="C1274">
        <v>2</v>
      </c>
      <c r="D1274">
        <v>23.1</v>
      </c>
      <c r="E1274">
        <v>46.2</v>
      </c>
      <c r="F1274" s="1">
        <v>45706</v>
      </c>
      <c r="G1274" s="1">
        <v>45709</v>
      </c>
      <c r="H1274" t="s">
        <v>8</v>
      </c>
      <c r="I1274" t="s">
        <v>20</v>
      </c>
      <c r="J1274">
        <v>4</v>
      </c>
      <c r="K1274" t="s">
        <v>4</v>
      </c>
      <c r="L1274" t="s">
        <v>59</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5">
      <c r="A1275" t="s">
        <v>1357</v>
      </c>
      <c r="B1275" t="s">
        <v>54</v>
      </c>
      <c r="C1275">
        <v>6</v>
      </c>
      <c r="D1275">
        <v>60.1</v>
      </c>
      <c r="E1275">
        <v>360.6</v>
      </c>
      <c r="F1275" s="1">
        <v>45706</v>
      </c>
      <c r="G1275" s="1">
        <v>45706</v>
      </c>
      <c r="H1275" t="s">
        <v>12</v>
      </c>
      <c r="I1275" t="s">
        <v>36</v>
      </c>
      <c r="J1275">
        <v>4</v>
      </c>
      <c r="K1275" t="s">
        <v>4</v>
      </c>
      <c r="L1275" t="s">
        <v>62</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5">
      <c r="A1276" t="s">
        <v>1358</v>
      </c>
      <c r="B1276" t="s">
        <v>11</v>
      </c>
      <c r="C1276">
        <v>7</v>
      </c>
      <c r="D1276">
        <v>87.5</v>
      </c>
      <c r="E1276">
        <v>612.5</v>
      </c>
      <c r="F1276" s="1">
        <v>45706</v>
      </c>
      <c r="G1276" s="1">
        <v>45708</v>
      </c>
      <c r="H1276" t="s">
        <v>12</v>
      </c>
      <c r="I1276" t="s">
        <v>3</v>
      </c>
      <c r="J1276">
        <v>3</v>
      </c>
      <c r="K1276" t="s">
        <v>4</v>
      </c>
      <c r="L1276" t="s">
        <v>62</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5">
      <c r="A1277" t="s">
        <v>1359</v>
      </c>
      <c r="B1277" t="s">
        <v>7</v>
      </c>
      <c r="C1277">
        <v>3</v>
      </c>
      <c r="D1277">
        <v>51</v>
      </c>
      <c r="E1277">
        <v>153</v>
      </c>
      <c r="F1277" s="1">
        <v>45706</v>
      </c>
      <c r="G1277" s="1">
        <v>45707</v>
      </c>
      <c r="H1277" t="s">
        <v>12</v>
      </c>
      <c r="I1277" t="s">
        <v>20</v>
      </c>
      <c r="J1277">
        <v>4</v>
      </c>
      <c r="K1277" t="s">
        <v>4</v>
      </c>
      <c r="L1277" t="s">
        <v>62</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5">
      <c r="A1278" t="s">
        <v>1360</v>
      </c>
      <c r="B1278" t="s">
        <v>29</v>
      </c>
      <c r="C1278">
        <v>4</v>
      </c>
      <c r="D1278">
        <v>19.2</v>
      </c>
      <c r="E1278">
        <v>76.8</v>
      </c>
      <c r="F1278" s="1">
        <v>45706</v>
      </c>
      <c r="G1278" s="1">
        <v>45708</v>
      </c>
      <c r="H1278" t="s">
        <v>12</v>
      </c>
      <c r="I1278" t="s">
        <v>3</v>
      </c>
      <c r="J1278">
        <v>4</v>
      </c>
      <c r="K1278" t="s">
        <v>4</v>
      </c>
      <c r="L1278" t="s">
        <v>62</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5">
      <c r="A1279" t="s">
        <v>1361</v>
      </c>
      <c r="B1279" t="s">
        <v>22</v>
      </c>
      <c r="C1279">
        <v>8</v>
      </c>
      <c r="D1279">
        <v>26.5</v>
      </c>
      <c r="E1279">
        <v>212</v>
      </c>
      <c r="F1279" s="1">
        <v>45706</v>
      </c>
      <c r="G1279" s="1">
        <v>45707</v>
      </c>
      <c r="H1279" t="s">
        <v>2</v>
      </c>
      <c r="I1279" t="s">
        <v>36</v>
      </c>
      <c r="J1279">
        <v>5</v>
      </c>
      <c r="K1279" t="s">
        <v>4</v>
      </c>
      <c r="L1279" t="s">
        <v>62</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5">
      <c r="A1280" t="s">
        <v>1362</v>
      </c>
      <c r="B1280" t="s">
        <v>11</v>
      </c>
      <c r="C1280">
        <v>2</v>
      </c>
      <c r="D1280">
        <v>220.3</v>
      </c>
      <c r="E1280">
        <v>440.6</v>
      </c>
      <c r="F1280" s="1">
        <v>45706</v>
      </c>
      <c r="G1280" s="1">
        <v>45707</v>
      </c>
      <c r="H1280" t="s">
        <v>12</v>
      </c>
      <c r="I1280" t="s">
        <v>20</v>
      </c>
      <c r="J1280">
        <v>2</v>
      </c>
      <c r="K1280" t="s">
        <v>4</v>
      </c>
      <c r="L1280" t="s">
        <v>1101</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5">
      <c r="A1281" t="s">
        <v>1363</v>
      </c>
      <c r="B1281" t="s">
        <v>29</v>
      </c>
      <c r="C1281">
        <v>3</v>
      </c>
      <c r="D1281">
        <v>45.7</v>
      </c>
      <c r="E1281">
        <v>137.10000000000002</v>
      </c>
      <c r="F1281" s="1">
        <v>45706</v>
      </c>
      <c r="G1281" s="1">
        <v>45707</v>
      </c>
      <c r="H1281" t="s">
        <v>12</v>
      </c>
      <c r="I1281" t="s">
        <v>55</v>
      </c>
      <c r="J1281">
        <v>4</v>
      </c>
      <c r="K1281" t="s">
        <v>4</v>
      </c>
      <c r="L1281" t="s">
        <v>253</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5">
      <c r="A1282" t="s">
        <v>1364</v>
      </c>
      <c r="B1282" t="s">
        <v>22</v>
      </c>
      <c r="C1282">
        <v>5</v>
      </c>
      <c r="D1282">
        <v>47.1</v>
      </c>
      <c r="E1282">
        <v>235.5</v>
      </c>
      <c r="F1282" s="1">
        <v>45706</v>
      </c>
      <c r="G1282" s="1">
        <v>45710</v>
      </c>
      <c r="H1282" t="s">
        <v>12</v>
      </c>
      <c r="I1282" t="s">
        <v>36</v>
      </c>
      <c r="J1282">
        <v>4</v>
      </c>
      <c r="K1282" t="s">
        <v>4</v>
      </c>
      <c r="L1282" t="s">
        <v>67</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5">
      <c r="A1283" t="s">
        <v>1365</v>
      </c>
      <c r="B1283" t="s">
        <v>7</v>
      </c>
      <c r="C1283">
        <v>5</v>
      </c>
      <c r="D1283">
        <v>81.7</v>
      </c>
      <c r="E1283">
        <v>408.5</v>
      </c>
      <c r="F1283" s="1">
        <v>45706</v>
      </c>
      <c r="G1283" s="1">
        <v>45707</v>
      </c>
      <c r="H1283" t="s">
        <v>12</v>
      </c>
      <c r="I1283" t="s">
        <v>3</v>
      </c>
      <c r="J1283">
        <v>5</v>
      </c>
      <c r="K1283" t="s">
        <v>4</v>
      </c>
      <c r="L1283" t="s">
        <v>100</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5">
      <c r="A1284" t="s">
        <v>1366</v>
      </c>
      <c r="B1284" t="s">
        <v>24</v>
      </c>
      <c r="C1284">
        <v>10</v>
      </c>
      <c r="D1284">
        <v>97.8</v>
      </c>
      <c r="E1284">
        <v>978</v>
      </c>
      <c r="F1284" s="1">
        <v>45706</v>
      </c>
      <c r="G1284" s="1">
        <v>45706</v>
      </c>
      <c r="H1284" t="s">
        <v>8</v>
      </c>
      <c r="I1284" t="s">
        <v>20</v>
      </c>
      <c r="J1284">
        <v>3</v>
      </c>
      <c r="K1284" t="s">
        <v>4</v>
      </c>
      <c r="L1284" t="s">
        <v>100</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5">
      <c r="A1285" t="s">
        <v>1367</v>
      </c>
      <c r="B1285" t="s">
        <v>24</v>
      </c>
      <c r="C1285">
        <v>3</v>
      </c>
      <c r="D1285">
        <v>42.4</v>
      </c>
      <c r="E1285">
        <v>127.19999999999999</v>
      </c>
      <c r="F1285" s="1">
        <v>45706</v>
      </c>
      <c r="G1285" s="1">
        <v>45707</v>
      </c>
      <c r="H1285" t="s">
        <v>12</v>
      </c>
      <c r="I1285" t="s">
        <v>3</v>
      </c>
      <c r="J1285">
        <v>5</v>
      </c>
      <c r="K1285" t="s">
        <v>4</v>
      </c>
      <c r="L1285" t="s">
        <v>1368</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5">
      <c r="A1286" t="s">
        <v>1369</v>
      </c>
      <c r="B1286" t="s">
        <v>11</v>
      </c>
      <c r="C1286">
        <v>10</v>
      </c>
      <c r="D1286">
        <v>74.5</v>
      </c>
      <c r="E1286">
        <v>745</v>
      </c>
      <c r="F1286" s="1">
        <v>45706</v>
      </c>
      <c r="G1286" s="1">
        <v>45707</v>
      </c>
      <c r="H1286" t="s">
        <v>8</v>
      </c>
      <c r="I1286" t="s">
        <v>25</v>
      </c>
      <c r="J1286">
        <v>3</v>
      </c>
      <c r="K1286" t="s">
        <v>4</v>
      </c>
      <c r="L1286" t="s">
        <v>9</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5">
      <c r="A1287" t="s">
        <v>1370</v>
      </c>
      <c r="B1287" t="s">
        <v>120</v>
      </c>
      <c r="C1287">
        <v>6</v>
      </c>
      <c r="D1287">
        <v>47.4</v>
      </c>
      <c r="E1287">
        <v>284.39999999999998</v>
      </c>
      <c r="F1287" s="1">
        <v>45706</v>
      </c>
      <c r="G1287" s="1">
        <v>45707</v>
      </c>
      <c r="H1287" t="s">
        <v>8</v>
      </c>
      <c r="I1287" t="s">
        <v>20</v>
      </c>
      <c r="J1287">
        <v>4</v>
      </c>
      <c r="K1287" t="s">
        <v>4</v>
      </c>
      <c r="L1287" t="s">
        <v>9</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5">
      <c r="A1288" t="s">
        <v>1371</v>
      </c>
      <c r="B1288" t="s">
        <v>66</v>
      </c>
      <c r="C1288">
        <v>3</v>
      </c>
      <c r="D1288">
        <v>17.3</v>
      </c>
      <c r="E1288">
        <v>51.900000000000006</v>
      </c>
      <c r="F1288" s="1">
        <v>45707</v>
      </c>
      <c r="G1288" s="1">
        <v>45710</v>
      </c>
      <c r="H1288" t="s">
        <v>8</v>
      </c>
      <c r="I1288" t="s">
        <v>25</v>
      </c>
      <c r="J1288">
        <v>5</v>
      </c>
      <c r="K1288" t="s">
        <v>4</v>
      </c>
      <c r="L1288" t="s">
        <v>9</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5">
      <c r="A1289" t="s">
        <v>1372</v>
      </c>
      <c r="B1289" t="s">
        <v>54</v>
      </c>
      <c r="C1289">
        <v>4</v>
      </c>
      <c r="D1289">
        <v>77.900000000000006</v>
      </c>
      <c r="E1289">
        <v>311.60000000000002</v>
      </c>
      <c r="F1289" s="1">
        <v>45707</v>
      </c>
      <c r="G1289" s="1">
        <v>45708</v>
      </c>
      <c r="H1289" t="s">
        <v>8</v>
      </c>
      <c r="I1289" t="s">
        <v>20</v>
      </c>
      <c r="J1289">
        <v>4</v>
      </c>
      <c r="K1289" t="s">
        <v>4</v>
      </c>
      <c r="L1289" t="s">
        <v>13</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5">
      <c r="A1290" t="s">
        <v>1373</v>
      </c>
      <c r="B1290" t="s">
        <v>29</v>
      </c>
      <c r="C1290">
        <v>1</v>
      </c>
      <c r="D1290">
        <v>29.1</v>
      </c>
      <c r="E1290">
        <v>29.1</v>
      </c>
      <c r="F1290" s="1">
        <v>45707</v>
      </c>
      <c r="G1290" s="1">
        <v>45710</v>
      </c>
      <c r="H1290" t="s">
        <v>8</v>
      </c>
      <c r="I1290" t="s">
        <v>3</v>
      </c>
      <c r="J1290">
        <v>5</v>
      </c>
      <c r="K1290" t="s">
        <v>4</v>
      </c>
      <c r="L1290" t="s">
        <v>934</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5">
      <c r="A1291" t="s">
        <v>1374</v>
      </c>
      <c r="B1291" t="s">
        <v>29</v>
      </c>
      <c r="C1291">
        <v>1</v>
      </c>
      <c r="D1291">
        <v>49</v>
      </c>
      <c r="E1291">
        <v>49</v>
      </c>
      <c r="F1291" s="1">
        <v>45707</v>
      </c>
      <c r="G1291" s="1">
        <v>45708</v>
      </c>
      <c r="H1291" t="s">
        <v>8</v>
      </c>
      <c r="I1291" t="s">
        <v>20</v>
      </c>
      <c r="J1291">
        <v>4</v>
      </c>
      <c r="K1291" t="s">
        <v>4</v>
      </c>
      <c r="L1291" t="s">
        <v>18</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5">
      <c r="A1292" t="s">
        <v>1375</v>
      </c>
      <c r="B1292" t="s">
        <v>29</v>
      </c>
      <c r="C1292">
        <v>6</v>
      </c>
      <c r="D1292">
        <v>21.1</v>
      </c>
      <c r="E1292">
        <v>126.60000000000001</v>
      </c>
      <c r="F1292" s="1">
        <v>45707</v>
      </c>
      <c r="G1292" s="1">
        <v>45714</v>
      </c>
      <c r="H1292" t="s">
        <v>8</v>
      </c>
      <c r="I1292" t="s">
        <v>3</v>
      </c>
      <c r="J1292">
        <v>5</v>
      </c>
      <c r="K1292" t="s">
        <v>4</v>
      </c>
      <c r="L1292" t="s">
        <v>18</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5">
      <c r="A1293" t="s">
        <v>1376</v>
      </c>
      <c r="B1293" t="s">
        <v>17</v>
      </c>
      <c r="C1293">
        <v>19</v>
      </c>
      <c r="D1293">
        <v>36.9</v>
      </c>
      <c r="E1293">
        <v>701.1</v>
      </c>
      <c r="F1293" s="1">
        <v>45707</v>
      </c>
      <c r="G1293" s="1">
        <v>45707</v>
      </c>
      <c r="H1293" t="s">
        <v>12</v>
      </c>
      <c r="I1293" t="s">
        <v>3</v>
      </c>
      <c r="J1293">
        <v>4</v>
      </c>
      <c r="K1293" t="s">
        <v>4</v>
      </c>
      <c r="L1293" t="s">
        <v>18</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5">
      <c r="A1294" t="s">
        <v>1377</v>
      </c>
      <c r="B1294" t="s">
        <v>7</v>
      </c>
      <c r="C1294">
        <v>10</v>
      </c>
      <c r="D1294">
        <v>92.6</v>
      </c>
      <c r="E1294">
        <v>926</v>
      </c>
      <c r="F1294" s="1">
        <v>45707</v>
      </c>
      <c r="G1294" s="1">
        <v>45712</v>
      </c>
      <c r="H1294" t="s">
        <v>8</v>
      </c>
      <c r="I1294" t="s">
        <v>55</v>
      </c>
      <c r="J1294">
        <v>5</v>
      </c>
      <c r="K1294" t="s">
        <v>4</v>
      </c>
      <c r="L1294" t="s">
        <v>18</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5">
      <c r="A1295" t="s">
        <v>1378</v>
      </c>
      <c r="B1295" t="s">
        <v>39</v>
      </c>
      <c r="C1295">
        <v>2</v>
      </c>
      <c r="D1295">
        <v>38</v>
      </c>
      <c r="E1295">
        <v>76</v>
      </c>
      <c r="F1295" s="1">
        <v>45707</v>
      </c>
      <c r="G1295" s="1">
        <v>45708</v>
      </c>
      <c r="H1295" t="s">
        <v>8</v>
      </c>
      <c r="I1295" t="s">
        <v>20</v>
      </c>
      <c r="J1295">
        <v>3</v>
      </c>
      <c r="K1295" t="s">
        <v>4</v>
      </c>
      <c r="L1295" t="s">
        <v>18</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5">
      <c r="A1296" t="s">
        <v>1379</v>
      </c>
      <c r="B1296" t="s">
        <v>22</v>
      </c>
      <c r="C1296">
        <v>3</v>
      </c>
      <c r="D1296">
        <v>54.8</v>
      </c>
      <c r="E1296">
        <v>164.39999999999998</v>
      </c>
      <c r="F1296" s="1">
        <v>45707</v>
      </c>
      <c r="G1296" s="1">
        <v>45711</v>
      </c>
      <c r="H1296" t="s">
        <v>2</v>
      </c>
      <c r="I1296" t="s">
        <v>3</v>
      </c>
      <c r="J1296">
        <v>3</v>
      </c>
      <c r="K1296" t="s">
        <v>4</v>
      </c>
      <c r="L1296" t="s">
        <v>18</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5">
      <c r="A1297" t="s">
        <v>1380</v>
      </c>
      <c r="B1297" t="s">
        <v>39</v>
      </c>
      <c r="C1297">
        <v>12</v>
      </c>
      <c r="D1297">
        <v>56.8</v>
      </c>
      <c r="E1297">
        <v>681.59999999999991</v>
      </c>
      <c r="F1297" s="1">
        <v>45707</v>
      </c>
      <c r="G1297" s="1">
        <v>45709</v>
      </c>
      <c r="H1297" t="s">
        <v>8</v>
      </c>
      <c r="I1297" t="s">
        <v>20</v>
      </c>
      <c r="J1297">
        <v>4</v>
      </c>
      <c r="K1297" t="s">
        <v>4</v>
      </c>
      <c r="L1297" t="s">
        <v>18</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5">
      <c r="A1298" t="s">
        <v>1381</v>
      </c>
      <c r="B1298" t="s">
        <v>52</v>
      </c>
      <c r="C1298">
        <v>33</v>
      </c>
      <c r="D1298">
        <v>47.2</v>
      </c>
      <c r="E1298">
        <v>1557.6000000000001</v>
      </c>
      <c r="F1298" s="1">
        <v>45707</v>
      </c>
      <c r="G1298" s="1">
        <v>45710</v>
      </c>
      <c r="H1298" t="s">
        <v>12</v>
      </c>
      <c r="I1298" t="s">
        <v>20</v>
      </c>
      <c r="J1298">
        <v>4</v>
      </c>
      <c r="K1298" t="s">
        <v>4</v>
      </c>
      <c r="L1298" t="s">
        <v>18</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5">
      <c r="A1299" t="s">
        <v>1382</v>
      </c>
      <c r="B1299" t="s">
        <v>27</v>
      </c>
      <c r="C1299">
        <v>6</v>
      </c>
      <c r="D1299">
        <v>45.1</v>
      </c>
      <c r="E1299">
        <v>270.60000000000002</v>
      </c>
      <c r="F1299" s="1">
        <v>45707</v>
      </c>
      <c r="G1299" s="1">
        <v>45708</v>
      </c>
      <c r="H1299" t="s">
        <v>12</v>
      </c>
      <c r="I1299" t="s">
        <v>25</v>
      </c>
      <c r="J1299">
        <v>4</v>
      </c>
      <c r="K1299" t="s">
        <v>4</v>
      </c>
      <c r="L1299" t="s">
        <v>530</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5">
      <c r="A1300" t="s">
        <v>1383</v>
      </c>
      <c r="B1300" t="s">
        <v>17</v>
      </c>
      <c r="C1300">
        <v>12</v>
      </c>
      <c r="D1300">
        <v>25.2</v>
      </c>
      <c r="E1300">
        <v>302.39999999999998</v>
      </c>
      <c r="F1300" s="1">
        <v>45707</v>
      </c>
      <c r="G1300" s="1">
        <v>45712</v>
      </c>
      <c r="H1300" t="s">
        <v>12</v>
      </c>
      <c r="I1300" t="s">
        <v>25</v>
      </c>
      <c r="J1300">
        <v>4</v>
      </c>
      <c r="K1300" t="s">
        <v>4</v>
      </c>
      <c r="L1300" t="s">
        <v>83</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5">
      <c r="A1301" t="s">
        <v>1384</v>
      </c>
      <c r="B1301" t="s">
        <v>29</v>
      </c>
      <c r="C1301">
        <v>1</v>
      </c>
      <c r="D1301">
        <v>22</v>
      </c>
      <c r="E1301">
        <v>22</v>
      </c>
      <c r="F1301" s="1">
        <v>45707</v>
      </c>
      <c r="G1301" s="1">
        <v>45708</v>
      </c>
      <c r="H1301" t="s">
        <v>12</v>
      </c>
      <c r="I1301" t="s">
        <v>3</v>
      </c>
      <c r="J1301">
        <v>4</v>
      </c>
      <c r="K1301" t="s">
        <v>4</v>
      </c>
      <c r="L1301" t="s">
        <v>37</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5">
      <c r="A1302" t="s">
        <v>1385</v>
      </c>
      <c r="B1302" t="s">
        <v>24</v>
      </c>
      <c r="C1302">
        <v>2</v>
      </c>
      <c r="D1302">
        <v>42.2</v>
      </c>
      <c r="E1302">
        <v>84.4</v>
      </c>
      <c r="F1302" s="1">
        <v>45707</v>
      </c>
      <c r="G1302" s="1">
        <v>45708</v>
      </c>
      <c r="H1302" t="s">
        <v>12</v>
      </c>
      <c r="I1302" t="s">
        <v>20</v>
      </c>
      <c r="J1302">
        <v>3</v>
      </c>
      <c r="K1302" t="s">
        <v>4</v>
      </c>
      <c r="L1302" t="s">
        <v>143</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5">
      <c r="A1303" t="s">
        <v>1386</v>
      </c>
      <c r="B1303" t="s">
        <v>61</v>
      </c>
      <c r="C1303">
        <v>3</v>
      </c>
      <c r="D1303">
        <v>20.5</v>
      </c>
      <c r="E1303">
        <v>61.5</v>
      </c>
      <c r="F1303" s="1">
        <v>45707</v>
      </c>
      <c r="G1303" s="1">
        <v>45708</v>
      </c>
      <c r="H1303" t="s">
        <v>8</v>
      </c>
      <c r="I1303" t="s">
        <v>3</v>
      </c>
      <c r="J1303">
        <v>3</v>
      </c>
      <c r="K1303" t="s">
        <v>4</v>
      </c>
      <c r="L1303" t="s">
        <v>40</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5">
      <c r="A1304" t="s">
        <v>1387</v>
      </c>
      <c r="B1304" t="s">
        <v>11</v>
      </c>
      <c r="C1304">
        <v>1</v>
      </c>
      <c r="D1304">
        <v>190.4</v>
      </c>
      <c r="E1304">
        <v>190.4</v>
      </c>
      <c r="F1304" s="1">
        <v>45707</v>
      </c>
      <c r="G1304" s="1">
        <v>45712</v>
      </c>
      <c r="H1304" t="s">
        <v>8</v>
      </c>
      <c r="I1304" t="s">
        <v>20</v>
      </c>
      <c r="J1304">
        <v>2</v>
      </c>
      <c r="K1304" t="s">
        <v>4</v>
      </c>
      <c r="L1304" t="s">
        <v>40</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5">
      <c r="A1305" t="s">
        <v>1388</v>
      </c>
      <c r="B1305" t="s">
        <v>11</v>
      </c>
      <c r="C1305">
        <v>1</v>
      </c>
      <c r="D1305">
        <v>121.9</v>
      </c>
      <c r="E1305">
        <v>121.9</v>
      </c>
      <c r="F1305" s="1">
        <v>45707</v>
      </c>
      <c r="G1305" s="1">
        <v>45709</v>
      </c>
      <c r="H1305" t="s">
        <v>12</v>
      </c>
      <c r="I1305" t="s">
        <v>20</v>
      </c>
      <c r="J1305">
        <v>5</v>
      </c>
      <c r="K1305" t="s">
        <v>4</v>
      </c>
      <c r="L1305" t="s">
        <v>40</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5">
      <c r="A1306" t="s">
        <v>1389</v>
      </c>
      <c r="B1306" t="s">
        <v>11</v>
      </c>
      <c r="C1306">
        <v>6</v>
      </c>
      <c r="D1306">
        <v>149.19999999999999</v>
      </c>
      <c r="E1306">
        <v>895.19999999999993</v>
      </c>
      <c r="F1306" s="1">
        <v>45707</v>
      </c>
      <c r="G1306" s="1">
        <v>45708</v>
      </c>
      <c r="H1306" t="s">
        <v>12</v>
      </c>
      <c r="I1306" t="s">
        <v>25</v>
      </c>
      <c r="J1306">
        <v>5</v>
      </c>
      <c r="K1306" t="s">
        <v>4</v>
      </c>
      <c r="L1306" t="s">
        <v>44</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5">
      <c r="A1307" t="s">
        <v>1390</v>
      </c>
      <c r="B1307" t="s">
        <v>11</v>
      </c>
      <c r="C1307">
        <v>1</v>
      </c>
      <c r="D1307">
        <v>54.1</v>
      </c>
      <c r="E1307">
        <v>54.1</v>
      </c>
      <c r="F1307" s="1">
        <v>45707</v>
      </c>
      <c r="G1307" s="1">
        <v>45716</v>
      </c>
      <c r="H1307" t="s">
        <v>12</v>
      </c>
      <c r="I1307" t="s">
        <v>25</v>
      </c>
      <c r="J1307">
        <v>5</v>
      </c>
      <c r="K1307" t="s">
        <v>4</v>
      </c>
      <c r="L1307" t="s">
        <v>44</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5">
      <c r="A1308" t="s">
        <v>1391</v>
      </c>
      <c r="B1308" t="s">
        <v>22</v>
      </c>
      <c r="C1308">
        <v>2</v>
      </c>
      <c r="D1308">
        <v>27.4</v>
      </c>
      <c r="E1308">
        <v>54.8</v>
      </c>
      <c r="F1308" s="1">
        <v>45707</v>
      </c>
      <c r="G1308" s="1">
        <v>45709</v>
      </c>
      <c r="H1308" t="s">
        <v>8</v>
      </c>
      <c r="I1308" t="s">
        <v>20</v>
      </c>
      <c r="J1308">
        <v>4</v>
      </c>
      <c r="K1308" t="s">
        <v>4</v>
      </c>
      <c r="L1308" t="s">
        <v>47</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5">
      <c r="A1309" t="s">
        <v>1392</v>
      </c>
      <c r="B1309" t="s">
        <v>1</v>
      </c>
      <c r="C1309">
        <v>13</v>
      </c>
      <c r="D1309">
        <v>30.4</v>
      </c>
      <c r="E1309">
        <v>395.2</v>
      </c>
      <c r="F1309" s="1">
        <v>45707</v>
      </c>
      <c r="G1309" s="1">
        <v>45708</v>
      </c>
      <c r="H1309" t="s">
        <v>12</v>
      </c>
      <c r="I1309" t="s">
        <v>3</v>
      </c>
      <c r="J1309">
        <v>5</v>
      </c>
      <c r="K1309" t="s">
        <v>4</v>
      </c>
      <c r="L1309" t="s">
        <v>47</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5">
      <c r="A1310" t="s">
        <v>1393</v>
      </c>
      <c r="B1310" t="s">
        <v>54</v>
      </c>
      <c r="C1310">
        <v>3</v>
      </c>
      <c r="D1310">
        <v>46.2</v>
      </c>
      <c r="E1310">
        <v>138.60000000000002</v>
      </c>
      <c r="F1310" s="1">
        <v>45707</v>
      </c>
      <c r="G1310" s="1">
        <v>45709</v>
      </c>
      <c r="H1310" t="s">
        <v>8</v>
      </c>
      <c r="I1310" t="s">
        <v>25</v>
      </c>
      <c r="J1310">
        <v>3</v>
      </c>
      <c r="K1310" t="s">
        <v>4</v>
      </c>
      <c r="L1310" t="s">
        <v>88</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5">
      <c r="A1311" t="s">
        <v>1394</v>
      </c>
      <c r="B1311" t="s">
        <v>27</v>
      </c>
      <c r="C1311">
        <v>8</v>
      </c>
      <c r="D1311">
        <v>78.599999999999994</v>
      </c>
      <c r="E1311">
        <v>628.79999999999995</v>
      </c>
      <c r="F1311" s="1">
        <v>45707</v>
      </c>
      <c r="G1311" s="1">
        <v>45711</v>
      </c>
      <c r="H1311" t="s">
        <v>8</v>
      </c>
      <c r="I1311" t="s">
        <v>36</v>
      </c>
      <c r="J1311">
        <v>4</v>
      </c>
      <c r="K1311" t="s">
        <v>4</v>
      </c>
      <c r="L1311" t="s">
        <v>88</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5">
      <c r="A1312" t="s">
        <v>1395</v>
      </c>
      <c r="B1312" t="s">
        <v>120</v>
      </c>
      <c r="C1312">
        <v>10</v>
      </c>
      <c r="D1312">
        <v>25.9</v>
      </c>
      <c r="E1312">
        <v>259</v>
      </c>
      <c r="F1312" s="1">
        <v>45707</v>
      </c>
      <c r="G1312" s="1">
        <v>45713</v>
      </c>
      <c r="H1312" t="s">
        <v>8</v>
      </c>
      <c r="I1312" t="s">
        <v>55</v>
      </c>
      <c r="J1312">
        <v>4</v>
      </c>
      <c r="K1312" t="s">
        <v>4</v>
      </c>
      <c r="L1312" t="s">
        <v>57</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5">
      <c r="A1313" t="s">
        <v>1396</v>
      </c>
      <c r="B1313" t="s">
        <v>24</v>
      </c>
      <c r="C1313">
        <v>1</v>
      </c>
      <c r="D1313">
        <v>134.80000000000001</v>
      </c>
      <c r="E1313">
        <v>134.80000000000001</v>
      </c>
      <c r="F1313" s="1">
        <v>45707</v>
      </c>
      <c r="G1313" s="1">
        <v>45709</v>
      </c>
      <c r="H1313" t="s">
        <v>8</v>
      </c>
      <c r="I1313" t="s">
        <v>25</v>
      </c>
      <c r="J1313">
        <v>5</v>
      </c>
      <c r="K1313" t="s">
        <v>4</v>
      </c>
      <c r="L1313" t="s">
        <v>57</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5">
      <c r="A1314" t="s">
        <v>1397</v>
      </c>
      <c r="B1314" t="s">
        <v>108</v>
      </c>
      <c r="C1314">
        <v>5</v>
      </c>
      <c r="D1314">
        <v>43.1</v>
      </c>
      <c r="E1314">
        <v>215.5</v>
      </c>
      <c r="F1314" s="1">
        <v>45707</v>
      </c>
      <c r="G1314" s="1">
        <v>45709</v>
      </c>
      <c r="H1314" t="s">
        <v>12</v>
      </c>
      <c r="I1314" t="s">
        <v>3</v>
      </c>
      <c r="J1314">
        <v>4</v>
      </c>
      <c r="K1314" t="s">
        <v>4</v>
      </c>
      <c r="L1314" t="s">
        <v>62</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5">
      <c r="A1315" t="s">
        <v>1398</v>
      </c>
      <c r="B1315" t="s">
        <v>11</v>
      </c>
      <c r="C1315">
        <v>2</v>
      </c>
      <c r="D1315">
        <v>215.6</v>
      </c>
      <c r="E1315">
        <v>431.2</v>
      </c>
      <c r="F1315" s="1">
        <v>45707</v>
      </c>
      <c r="G1315" s="1">
        <v>45708</v>
      </c>
      <c r="H1315" t="s">
        <v>12</v>
      </c>
      <c r="I1315" t="s">
        <v>25</v>
      </c>
      <c r="J1315">
        <v>4</v>
      </c>
      <c r="K1315" t="s">
        <v>4</v>
      </c>
      <c r="L1315" t="s">
        <v>93</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5">
      <c r="A1316" t="s">
        <v>1399</v>
      </c>
      <c r="B1316" t="s">
        <v>24</v>
      </c>
      <c r="C1316">
        <v>2</v>
      </c>
      <c r="D1316">
        <v>80.7</v>
      </c>
      <c r="E1316">
        <v>161.4</v>
      </c>
      <c r="F1316" s="1">
        <v>45707</v>
      </c>
      <c r="G1316" s="1">
        <v>45710</v>
      </c>
      <c r="H1316" t="s">
        <v>12</v>
      </c>
      <c r="I1316" t="s">
        <v>36</v>
      </c>
      <c r="J1316">
        <v>4</v>
      </c>
      <c r="K1316" t="s">
        <v>4</v>
      </c>
      <c r="L1316" t="s">
        <v>93</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5">
      <c r="A1317" t="s">
        <v>1400</v>
      </c>
      <c r="B1317" t="s">
        <v>39</v>
      </c>
      <c r="C1317">
        <v>7</v>
      </c>
      <c r="D1317">
        <v>20.6</v>
      </c>
      <c r="E1317">
        <v>144.20000000000002</v>
      </c>
      <c r="F1317" s="1">
        <v>45707</v>
      </c>
      <c r="G1317" s="1">
        <v>45712</v>
      </c>
      <c r="H1317" t="s">
        <v>2</v>
      </c>
      <c r="I1317" t="s">
        <v>25</v>
      </c>
      <c r="J1317">
        <v>3</v>
      </c>
      <c r="K1317" t="s">
        <v>4</v>
      </c>
      <c r="L1317" t="s">
        <v>95</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5">
      <c r="A1318" t="s">
        <v>1401</v>
      </c>
      <c r="B1318" t="s">
        <v>54</v>
      </c>
      <c r="C1318">
        <v>3</v>
      </c>
      <c r="D1318">
        <v>37.1</v>
      </c>
      <c r="E1318">
        <v>111.30000000000001</v>
      </c>
      <c r="F1318" s="1">
        <v>45707</v>
      </c>
      <c r="G1318" s="1">
        <v>45708</v>
      </c>
      <c r="H1318" t="s">
        <v>12</v>
      </c>
      <c r="I1318" t="s">
        <v>3</v>
      </c>
      <c r="J1318">
        <v>4</v>
      </c>
      <c r="K1318" t="s">
        <v>4</v>
      </c>
      <c r="L1318" t="s">
        <v>982</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5">
      <c r="A1319" t="s">
        <v>1402</v>
      </c>
      <c r="B1319" t="s">
        <v>54</v>
      </c>
      <c r="C1319">
        <v>1</v>
      </c>
      <c r="D1319">
        <v>104.8</v>
      </c>
      <c r="E1319">
        <v>104.8</v>
      </c>
      <c r="F1319" s="1">
        <v>45708</v>
      </c>
      <c r="G1319" s="1">
        <v>45710</v>
      </c>
      <c r="H1319" t="s">
        <v>12</v>
      </c>
      <c r="I1319" t="s">
        <v>3</v>
      </c>
      <c r="J1319">
        <v>4</v>
      </c>
      <c r="K1319" t="s">
        <v>4</v>
      </c>
      <c r="L1319" t="s">
        <v>67</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5">
      <c r="A1320" t="s">
        <v>1403</v>
      </c>
      <c r="B1320" t="s">
        <v>29</v>
      </c>
      <c r="C1320">
        <v>2</v>
      </c>
      <c r="D1320">
        <v>59</v>
      </c>
      <c r="E1320">
        <v>118</v>
      </c>
      <c r="F1320" s="1">
        <v>45708</v>
      </c>
      <c r="G1320" s="1">
        <v>45709</v>
      </c>
      <c r="H1320" t="s">
        <v>8</v>
      </c>
      <c r="I1320" t="s">
        <v>20</v>
      </c>
      <c r="J1320">
        <v>4</v>
      </c>
      <c r="K1320" t="s">
        <v>4</v>
      </c>
      <c r="L1320" t="s">
        <v>100</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5">
      <c r="A1321" t="s">
        <v>1404</v>
      </c>
      <c r="B1321" t="s">
        <v>29</v>
      </c>
      <c r="C1321">
        <v>2</v>
      </c>
      <c r="D1321">
        <v>32.299999999999997</v>
      </c>
      <c r="E1321">
        <v>64.599999999999994</v>
      </c>
      <c r="F1321" s="1">
        <v>45708</v>
      </c>
      <c r="G1321" s="1">
        <v>45709</v>
      </c>
      <c r="H1321" t="s">
        <v>8</v>
      </c>
      <c r="I1321" t="s">
        <v>3</v>
      </c>
      <c r="J1321">
        <v>5</v>
      </c>
      <c r="K1321" t="s">
        <v>4</v>
      </c>
      <c r="L1321" t="s">
        <v>100</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5">
      <c r="A1322" t="s">
        <v>1405</v>
      </c>
      <c r="B1322" t="s">
        <v>29</v>
      </c>
      <c r="C1322">
        <v>4</v>
      </c>
      <c r="D1322">
        <v>28.9</v>
      </c>
      <c r="E1322">
        <v>115.6</v>
      </c>
      <c r="F1322" s="1">
        <v>45708</v>
      </c>
      <c r="G1322" s="1">
        <v>45715</v>
      </c>
      <c r="H1322" t="s">
        <v>8</v>
      </c>
      <c r="I1322" t="s">
        <v>3</v>
      </c>
      <c r="J1322">
        <v>4</v>
      </c>
      <c r="K1322" t="s">
        <v>4</v>
      </c>
      <c r="L1322" t="s">
        <v>9</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5">
      <c r="A1323" t="s">
        <v>1406</v>
      </c>
      <c r="B1323" t="s">
        <v>1</v>
      </c>
      <c r="C1323">
        <v>2</v>
      </c>
      <c r="D1323">
        <v>29.6</v>
      </c>
      <c r="E1323">
        <v>59.2</v>
      </c>
      <c r="F1323" s="1">
        <v>45708</v>
      </c>
      <c r="G1323" s="1">
        <v>45710</v>
      </c>
      <c r="H1323" t="s">
        <v>8</v>
      </c>
      <c r="I1323" t="s">
        <v>3</v>
      </c>
      <c r="J1323">
        <v>4</v>
      </c>
      <c r="K1323" t="s">
        <v>4</v>
      </c>
      <c r="L1323" t="s">
        <v>9</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5">
      <c r="A1324" t="s">
        <v>1407</v>
      </c>
      <c r="B1324" t="s">
        <v>1</v>
      </c>
      <c r="C1324">
        <v>5</v>
      </c>
      <c r="D1324">
        <v>29.4</v>
      </c>
      <c r="E1324">
        <v>147</v>
      </c>
      <c r="F1324" s="1">
        <v>45708</v>
      </c>
      <c r="G1324" s="1">
        <v>45711</v>
      </c>
      <c r="H1324" t="s">
        <v>12</v>
      </c>
      <c r="I1324" t="s">
        <v>3</v>
      </c>
      <c r="J1324">
        <v>4</v>
      </c>
      <c r="K1324" t="s">
        <v>4</v>
      </c>
      <c r="L1324" t="s">
        <v>9</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5">
      <c r="A1325" t="s">
        <v>1408</v>
      </c>
      <c r="B1325" t="s">
        <v>7</v>
      </c>
      <c r="C1325">
        <v>2</v>
      </c>
      <c r="D1325">
        <v>40.6</v>
      </c>
      <c r="E1325">
        <v>81.2</v>
      </c>
      <c r="F1325" s="1">
        <v>45708</v>
      </c>
      <c r="G1325" s="1">
        <v>45709</v>
      </c>
      <c r="H1325" t="s">
        <v>8</v>
      </c>
      <c r="I1325" t="s">
        <v>3</v>
      </c>
      <c r="J1325">
        <v>2</v>
      </c>
      <c r="K1325" t="s">
        <v>4</v>
      </c>
      <c r="L1325" t="s">
        <v>13</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5">
      <c r="A1326" t="s">
        <v>1409</v>
      </c>
      <c r="B1326" t="s">
        <v>1</v>
      </c>
      <c r="C1326">
        <v>3</v>
      </c>
      <c r="D1326">
        <v>32.5</v>
      </c>
      <c r="E1326">
        <v>97.5</v>
      </c>
      <c r="F1326" s="1">
        <v>45708</v>
      </c>
      <c r="G1326" s="1">
        <v>45709</v>
      </c>
      <c r="H1326" t="s">
        <v>8</v>
      </c>
      <c r="I1326" t="s">
        <v>36</v>
      </c>
      <c r="J1326">
        <v>5</v>
      </c>
      <c r="K1326" t="s">
        <v>4</v>
      </c>
      <c r="L1326" t="s">
        <v>132</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5">
      <c r="A1327" t="s">
        <v>1410</v>
      </c>
      <c r="B1327" t="s">
        <v>108</v>
      </c>
      <c r="C1327">
        <v>1</v>
      </c>
      <c r="D1327">
        <v>26.2</v>
      </c>
      <c r="E1327">
        <v>26.2</v>
      </c>
      <c r="F1327" s="1">
        <v>45708</v>
      </c>
      <c r="G1327" s="1">
        <v>45710</v>
      </c>
      <c r="H1327" t="s">
        <v>8</v>
      </c>
      <c r="I1327" t="s">
        <v>25</v>
      </c>
      <c r="J1327">
        <v>4</v>
      </c>
      <c r="K1327" t="s">
        <v>4</v>
      </c>
      <c r="L1327" t="s">
        <v>1411</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5">
      <c r="A1328" t="s">
        <v>1412</v>
      </c>
      <c r="B1328" t="s">
        <v>39</v>
      </c>
      <c r="C1328">
        <v>30</v>
      </c>
      <c r="D1328">
        <v>44</v>
      </c>
      <c r="E1328">
        <v>1320</v>
      </c>
      <c r="F1328" s="1">
        <v>45708</v>
      </c>
      <c r="G1328" s="1">
        <v>45714</v>
      </c>
      <c r="H1328" t="s">
        <v>8</v>
      </c>
      <c r="I1328" t="s">
        <v>55</v>
      </c>
      <c r="J1328">
        <v>4</v>
      </c>
      <c r="K1328" t="s">
        <v>4</v>
      </c>
      <c r="L1328" t="s">
        <v>18</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5">
      <c r="A1329" t="s">
        <v>1413</v>
      </c>
      <c r="B1329" t="s">
        <v>27</v>
      </c>
      <c r="C1329">
        <v>4</v>
      </c>
      <c r="D1329">
        <v>65.599999999999994</v>
      </c>
      <c r="E1329">
        <v>262.39999999999998</v>
      </c>
      <c r="F1329" s="1">
        <v>45708</v>
      </c>
      <c r="G1329" s="1">
        <v>45709</v>
      </c>
      <c r="H1329" t="s">
        <v>12</v>
      </c>
      <c r="I1329" t="s">
        <v>20</v>
      </c>
      <c r="J1329">
        <v>3</v>
      </c>
      <c r="K1329" t="s">
        <v>4</v>
      </c>
      <c r="L1329" t="s">
        <v>18</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5">
      <c r="A1330" t="s">
        <v>1414</v>
      </c>
      <c r="B1330" t="s">
        <v>22</v>
      </c>
      <c r="C1330">
        <v>12</v>
      </c>
      <c r="D1330">
        <v>32.6</v>
      </c>
      <c r="E1330">
        <v>391.20000000000005</v>
      </c>
      <c r="F1330" s="1">
        <v>45708</v>
      </c>
      <c r="G1330" s="1">
        <v>45709</v>
      </c>
      <c r="H1330" t="s">
        <v>8</v>
      </c>
      <c r="I1330" t="s">
        <v>55</v>
      </c>
      <c r="J1330">
        <v>4</v>
      </c>
      <c r="K1330" t="s">
        <v>4</v>
      </c>
      <c r="L1330" t="s">
        <v>18</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5">
      <c r="A1331" t="s">
        <v>1415</v>
      </c>
      <c r="B1331" t="s">
        <v>113</v>
      </c>
      <c r="C1331">
        <v>2</v>
      </c>
      <c r="D1331">
        <v>88.7</v>
      </c>
      <c r="E1331">
        <v>177.4</v>
      </c>
      <c r="F1331" s="1">
        <v>45708</v>
      </c>
      <c r="G1331" s="1">
        <v>45709</v>
      </c>
      <c r="H1331" t="s">
        <v>2</v>
      </c>
      <c r="I1331" t="s">
        <v>36</v>
      </c>
      <c r="J1331">
        <v>5</v>
      </c>
      <c r="K1331" t="s">
        <v>4</v>
      </c>
      <c r="L1331" t="s">
        <v>18</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5">
      <c r="A1332" t="s">
        <v>1416</v>
      </c>
      <c r="B1332" t="s">
        <v>17</v>
      </c>
      <c r="C1332">
        <v>2</v>
      </c>
      <c r="D1332">
        <v>21.3</v>
      </c>
      <c r="E1332">
        <v>42.6</v>
      </c>
      <c r="F1332" s="1">
        <v>45708</v>
      </c>
      <c r="G1332" s="1">
        <v>45709</v>
      </c>
      <c r="H1332" t="s">
        <v>8</v>
      </c>
      <c r="I1332" t="s">
        <v>3</v>
      </c>
      <c r="J1332">
        <v>4</v>
      </c>
      <c r="K1332" t="s">
        <v>4</v>
      </c>
      <c r="L1332" t="s">
        <v>18</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5">
      <c r="A1333" t="s">
        <v>1417</v>
      </c>
      <c r="B1333" t="s">
        <v>17</v>
      </c>
      <c r="C1333">
        <v>6</v>
      </c>
      <c r="D1333">
        <v>50.6</v>
      </c>
      <c r="E1333">
        <v>303.60000000000002</v>
      </c>
      <c r="F1333" s="1">
        <v>45708</v>
      </c>
      <c r="G1333" s="1">
        <v>45712</v>
      </c>
      <c r="H1333" t="s">
        <v>12</v>
      </c>
      <c r="I1333" t="s">
        <v>25</v>
      </c>
      <c r="J1333">
        <v>4</v>
      </c>
      <c r="K1333" t="s">
        <v>4</v>
      </c>
      <c r="L1333" t="s">
        <v>18</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5">
      <c r="A1334" t="s">
        <v>1418</v>
      </c>
      <c r="B1334" t="s">
        <v>31</v>
      </c>
      <c r="C1334">
        <v>21</v>
      </c>
      <c r="D1334">
        <v>86.9</v>
      </c>
      <c r="E1334">
        <v>1824.9</v>
      </c>
      <c r="F1334" s="1">
        <v>45708</v>
      </c>
      <c r="G1334" s="1">
        <v>45711</v>
      </c>
      <c r="H1334" t="s">
        <v>12</v>
      </c>
      <c r="I1334" t="s">
        <v>3</v>
      </c>
      <c r="J1334">
        <v>3</v>
      </c>
      <c r="K1334" t="s">
        <v>4</v>
      </c>
      <c r="L1334" t="s">
        <v>18</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5">
      <c r="A1335" t="s">
        <v>1419</v>
      </c>
      <c r="B1335" t="s">
        <v>52</v>
      </c>
      <c r="C1335">
        <v>3</v>
      </c>
      <c r="D1335">
        <v>31.8</v>
      </c>
      <c r="E1335">
        <v>95.4</v>
      </c>
      <c r="F1335" s="1">
        <v>45708</v>
      </c>
      <c r="G1335" s="1">
        <v>45710</v>
      </c>
      <c r="H1335" t="s">
        <v>8</v>
      </c>
      <c r="I1335" t="s">
        <v>3</v>
      </c>
      <c r="J1335">
        <v>5</v>
      </c>
      <c r="K1335" t="s">
        <v>4</v>
      </c>
      <c r="L1335" t="s">
        <v>18</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5">
      <c r="A1336" t="s">
        <v>1420</v>
      </c>
      <c r="B1336" t="s">
        <v>29</v>
      </c>
      <c r="C1336">
        <v>1</v>
      </c>
      <c r="D1336">
        <v>19</v>
      </c>
      <c r="E1336">
        <v>19</v>
      </c>
      <c r="F1336" s="1">
        <v>45708</v>
      </c>
      <c r="G1336" s="1">
        <v>45709</v>
      </c>
      <c r="H1336" t="s">
        <v>12</v>
      </c>
      <c r="I1336" t="s">
        <v>3</v>
      </c>
      <c r="J1336">
        <v>5</v>
      </c>
      <c r="K1336" t="s">
        <v>4</v>
      </c>
      <c r="L1336" t="s">
        <v>18</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5">
      <c r="A1337" t="s">
        <v>1421</v>
      </c>
      <c r="B1337" t="s">
        <v>22</v>
      </c>
      <c r="C1337">
        <v>1</v>
      </c>
      <c r="D1337">
        <v>54.5</v>
      </c>
      <c r="E1337">
        <v>54.5</v>
      </c>
      <c r="F1337" s="1">
        <v>45708</v>
      </c>
      <c r="G1337" s="1">
        <v>45710</v>
      </c>
      <c r="H1337" t="s">
        <v>8</v>
      </c>
      <c r="I1337" t="s">
        <v>3</v>
      </c>
      <c r="J1337">
        <v>4</v>
      </c>
      <c r="K1337" t="s">
        <v>4</v>
      </c>
      <c r="L1337" t="s">
        <v>18</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5">
      <c r="A1338" t="s">
        <v>1422</v>
      </c>
      <c r="B1338" t="s">
        <v>31</v>
      </c>
      <c r="C1338">
        <v>5</v>
      </c>
      <c r="D1338">
        <v>68.900000000000006</v>
      </c>
      <c r="E1338">
        <v>344.5</v>
      </c>
      <c r="F1338" s="1">
        <v>45708</v>
      </c>
      <c r="G1338" s="1">
        <v>45710</v>
      </c>
      <c r="H1338" t="s">
        <v>8</v>
      </c>
      <c r="I1338" t="s">
        <v>55</v>
      </c>
      <c r="J1338">
        <v>3</v>
      </c>
      <c r="K1338" t="s">
        <v>4</v>
      </c>
      <c r="L1338" t="s">
        <v>18</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5">
      <c r="A1339" t="s">
        <v>1423</v>
      </c>
      <c r="B1339" t="s">
        <v>24</v>
      </c>
      <c r="C1339">
        <v>3</v>
      </c>
      <c r="D1339">
        <v>84</v>
      </c>
      <c r="E1339">
        <v>252</v>
      </c>
      <c r="F1339" s="1">
        <v>45708</v>
      </c>
      <c r="G1339" s="1">
        <v>45709</v>
      </c>
      <c r="H1339" t="s">
        <v>8</v>
      </c>
      <c r="I1339" t="s">
        <v>20</v>
      </c>
      <c r="J1339">
        <v>2</v>
      </c>
      <c r="K1339" t="s">
        <v>4</v>
      </c>
      <c r="L1339" t="s">
        <v>83</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5">
      <c r="A1340" t="s">
        <v>1424</v>
      </c>
      <c r="B1340" t="s">
        <v>108</v>
      </c>
      <c r="C1340">
        <v>8</v>
      </c>
      <c r="D1340">
        <v>23.1</v>
      </c>
      <c r="E1340">
        <v>184.8</v>
      </c>
      <c r="F1340" s="1">
        <v>45708</v>
      </c>
      <c r="G1340" s="1">
        <v>45713</v>
      </c>
      <c r="H1340" t="s">
        <v>8</v>
      </c>
      <c r="I1340" t="s">
        <v>3</v>
      </c>
      <c r="J1340">
        <v>5</v>
      </c>
      <c r="K1340" t="s">
        <v>4</v>
      </c>
      <c r="L1340" t="s">
        <v>143</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5">
      <c r="A1341" t="s">
        <v>1425</v>
      </c>
      <c r="B1341" t="s">
        <v>27</v>
      </c>
      <c r="C1341">
        <v>2</v>
      </c>
      <c r="D1341">
        <v>62.4</v>
      </c>
      <c r="E1341">
        <v>124.8</v>
      </c>
      <c r="F1341" s="1">
        <v>45708</v>
      </c>
      <c r="G1341" s="1">
        <v>45709</v>
      </c>
      <c r="H1341" t="s">
        <v>12</v>
      </c>
      <c r="I1341" t="s">
        <v>3</v>
      </c>
      <c r="J1341">
        <v>3</v>
      </c>
      <c r="K1341" t="s">
        <v>4</v>
      </c>
      <c r="L1341" t="s">
        <v>40</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5">
      <c r="A1342" t="s">
        <v>1426</v>
      </c>
      <c r="B1342" t="s">
        <v>24</v>
      </c>
      <c r="C1342">
        <v>12</v>
      </c>
      <c r="D1342">
        <v>40.700000000000003</v>
      </c>
      <c r="E1342">
        <v>488.40000000000003</v>
      </c>
      <c r="F1342" s="1">
        <v>45708</v>
      </c>
      <c r="G1342" s="1">
        <v>45710</v>
      </c>
      <c r="H1342" t="s">
        <v>8</v>
      </c>
      <c r="I1342" t="s">
        <v>20</v>
      </c>
      <c r="J1342">
        <v>5</v>
      </c>
      <c r="K1342" t="s">
        <v>4</v>
      </c>
      <c r="L1342" t="s">
        <v>40</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5">
      <c r="A1343" t="s">
        <v>1427</v>
      </c>
      <c r="B1343" t="s">
        <v>24</v>
      </c>
      <c r="C1343">
        <v>1</v>
      </c>
      <c r="D1343">
        <v>49.6</v>
      </c>
      <c r="E1343">
        <v>49.6</v>
      </c>
      <c r="F1343" s="1">
        <v>45708</v>
      </c>
      <c r="G1343" s="1">
        <v>45711</v>
      </c>
      <c r="H1343" t="s">
        <v>8</v>
      </c>
      <c r="I1343" t="s">
        <v>25</v>
      </c>
      <c r="J1343">
        <v>4</v>
      </c>
      <c r="K1343" t="s">
        <v>4</v>
      </c>
      <c r="L1343" t="s">
        <v>44</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5">
      <c r="A1344" t="s">
        <v>1428</v>
      </c>
      <c r="B1344" t="s">
        <v>27</v>
      </c>
      <c r="C1344">
        <v>45</v>
      </c>
      <c r="D1344">
        <v>66.599999999999994</v>
      </c>
      <c r="E1344">
        <v>2996.9999999999995</v>
      </c>
      <c r="F1344" s="1">
        <v>45708</v>
      </c>
      <c r="G1344" s="1">
        <v>45711</v>
      </c>
      <c r="H1344" t="s">
        <v>8</v>
      </c>
      <c r="I1344" t="s">
        <v>25</v>
      </c>
      <c r="J1344">
        <v>4</v>
      </c>
      <c r="K1344" t="s">
        <v>4</v>
      </c>
      <c r="L1344" t="s">
        <v>47</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5">
      <c r="A1345" t="s">
        <v>1429</v>
      </c>
      <c r="B1345" t="s">
        <v>29</v>
      </c>
      <c r="C1345">
        <v>3</v>
      </c>
      <c r="D1345">
        <v>26.4</v>
      </c>
      <c r="E1345">
        <v>79.199999999999989</v>
      </c>
      <c r="F1345" s="1">
        <v>45708</v>
      </c>
      <c r="G1345" s="1">
        <v>45709</v>
      </c>
      <c r="H1345" t="s">
        <v>12</v>
      </c>
      <c r="I1345" t="s">
        <v>20</v>
      </c>
      <c r="J1345">
        <v>3</v>
      </c>
      <c r="K1345" t="s">
        <v>4</v>
      </c>
      <c r="L1345" t="s">
        <v>47</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5">
      <c r="A1346" t="s">
        <v>1430</v>
      </c>
      <c r="B1346" t="s">
        <v>1</v>
      </c>
      <c r="C1346">
        <v>2</v>
      </c>
      <c r="D1346">
        <v>17.2</v>
      </c>
      <c r="E1346">
        <v>34.4</v>
      </c>
      <c r="F1346" s="1">
        <v>45708</v>
      </c>
      <c r="G1346" s="1">
        <v>45711</v>
      </c>
      <c r="H1346" t="s">
        <v>8</v>
      </c>
      <c r="I1346" t="s">
        <v>25</v>
      </c>
      <c r="J1346">
        <v>3</v>
      </c>
      <c r="K1346" t="s">
        <v>4</v>
      </c>
      <c r="L1346" t="s">
        <v>47</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5">
      <c r="A1347" t="s">
        <v>1431</v>
      </c>
      <c r="B1347" t="s">
        <v>22</v>
      </c>
      <c r="C1347">
        <v>8</v>
      </c>
      <c r="D1347">
        <v>58.1</v>
      </c>
      <c r="E1347">
        <v>464.8</v>
      </c>
      <c r="F1347" s="1">
        <v>45708</v>
      </c>
      <c r="G1347" s="1">
        <v>45711</v>
      </c>
      <c r="H1347" t="s">
        <v>12</v>
      </c>
      <c r="I1347" t="s">
        <v>55</v>
      </c>
      <c r="J1347">
        <v>4</v>
      </c>
      <c r="K1347" t="s">
        <v>4</v>
      </c>
      <c r="L1347" t="s">
        <v>47</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5">
      <c r="A1348" t="s">
        <v>1432</v>
      </c>
      <c r="B1348" t="s">
        <v>108</v>
      </c>
      <c r="C1348">
        <v>4</v>
      </c>
      <c r="D1348">
        <v>31.5</v>
      </c>
      <c r="E1348">
        <v>126</v>
      </c>
      <c r="F1348" s="1">
        <v>45708</v>
      </c>
      <c r="G1348" s="1">
        <v>45711</v>
      </c>
      <c r="H1348" t="s">
        <v>12</v>
      </c>
      <c r="I1348" t="s">
        <v>55</v>
      </c>
      <c r="J1348">
        <v>2</v>
      </c>
      <c r="K1348" t="s">
        <v>4</v>
      </c>
      <c r="L1348" t="s">
        <v>47</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5">
      <c r="A1349" t="s">
        <v>1433</v>
      </c>
      <c r="B1349" t="s">
        <v>1</v>
      </c>
      <c r="C1349">
        <v>1</v>
      </c>
      <c r="D1349">
        <v>27.1</v>
      </c>
      <c r="E1349">
        <v>27.1</v>
      </c>
      <c r="F1349" s="1">
        <v>45708</v>
      </c>
      <c r="G1349" s="1">
        <v>45710</v>
      </c>
      <c r="H1349" t="s">
        <v>12</v>
      </c>
      <c r="I1349" t="s">
        <v>3</v>
      </c>
      <c r="J1349">
        <v>3</v>
      </c>
      <c r="K1349" t="s">
        <v>4</v>
      </c>
      <c r="L1349" t="s">
        <v>88</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5">
      <c r="A1350" t="s">
        <v>1434</v>
      </c>
      <c r="B1350" t="s">
        <v>131</v>
      </c>
      <c r="C1350">
        <v>4</v>
      </c>
      <c r="D1350">
        <v>28.5</v>
      </c>
      <c r="E1350">
        <v>114</v>
      </c>
      <c r="F1350" s="1">
        <v>45708</v>
      </c>
      <c r="G1350" s="1">
        <v>45710</v>
      </c>
      <c r="H1350" t="s">
        <v>8</v>
      </c>
      <c r="I1350" t="s">
        <v>20</v>
      </c>
      <c r="J1350">
        <v>5</v>
      </c>
      <c r="K1350" t="s">
        <v>4</v>
      </c>
      <c r="L1350" t="s">
        <v>57</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5">
      <c r="A1351" t="s">
        <v>1435</v>
      </c>
      <c r="B1351" t="s">
        <v>39</v>
      </c>
      <c r="C1351">
        <v>1</v>
      </c>
      <c r="D1351">
        <v>40.5</v>
      </c>
      <c r="E1351">
        <v>40.5</v>
      </c>
      <c r="F1351" s="1">
        <v>45709</v>
      </c>
      <c r="G1351" s="1">
        <v>45711</v>
      </c>
      <c r="H1351" t="s">
        <v>74</v>
      </c>
      <c r="I1351" t="s">
        <v>25</v>
      </c>
      <c r="J1351">
        <v>4</v>
      </c>
      <c r="K1351" t="s">
        <v>4</v>
      </c>
      <c r="L1351" t="s">
        <v>57</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5">
      <c r="A1352" t="s">
        <v>1436</v>
      </c>
      <c r="B1352" t="s">
        <v>11</v>
      </c>
      <c r="C1352">
        <v>3</v>
      </c>
      <c r="D1352">
        <v>77.900000000000006</v>
      </c>
      <c r="E1352">
        <v>233.70000000000002</v>
      </c>
      <c r="F1352" s="1">
        <v>45709</v>
      </c>
      <c r="G1352" s="1">
        <v>45713</v>
      </c>
      <c r="H1352" t="s">
        <v>12</v>
      </c>
      <c r="I1352" t="s">
        <v>20</v>
      </c>
      <c r="J1352">
        <v>5</v>
      </c>
      <c r="K1352" t="s">
        <v>4</v>
      </c>
      <c r="L1352" t="s">
        <v>95</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5">
      <c r="A1353" t="s">
        <v>1437</v>
      </c>
      <c r="B1353" t="s">
        <v>131</v>
      </c>
      <c r="C1353">
        <v>4</v>
      </c>
      <c r="D1353">
        <v>37.1</v>
      </c>
      <c r="E1353">
        <v>148.4</v>
      </c>
      <c r="F1353" s="1">
        <v>45709</v>
      </c>
      <c r="G1353" s="1">
        <v>45711</v>
      </c>
      <c r="H1353" t="s">
        <v>8</v>
      </c>
      <c r="I1353" t="s">
        <v>55</v>
      </c>
      <c r="J1353">
        <v>5</v>
      </c>
      <c r="K1353" t="s">
        <v>4</v>
      </c>
      <c r="L1353" t="s">
        <v>95</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5">
      <c r="A1354" t="s">
        <v>1438</v>
      </c>
      <c r="B1354" t="s">
        <v>113</v>
      </c>
      <c r="C1354">
        <v>3</v>
      </c>
      <c r="D1354">
        <v>51.6</v>
      </c>
      <c r="E1354">
        <v>154.80000000000001</v>
      </c>
      <c r="F1354" s="1">
        <v>45709</v>
      </c>
      <c r="G1354" s="1">
        <v>45717</v>
      </c>
      <c r="H1354" t="s">
        <v>12</v>
      </c>
      <c r="I1354" t="s">
        <v>3</v>
      </c>
      <c r="J1354">
        <v>2</v>
      </c>
      <c r="K1354" t="s">
        <v>4</v>
      </c>
      <c r="L1354" t="s">
        <v>95</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5">
      <c r="A1355" t="s">
        <v>1439</v>
      </c>
      <c r="B1355" t="s">
        <v>27</v>
      </c>
      <c r="C1355">
        <v>3</v>
      </c>
      <c r="D1355">
        <v>98</v>
      </c>
      <c r="E1355">
        <v>294</v>
      </c>
      <c r="F1355" s="1">
        <v>45709</v>
      </c>
      <c r="G1355" s="1">
        <v>45710</v>
      </c>
      <c r="H1355" t="s">
        <v>8</v>
      </c>
      <c r="I1355" t="s">
        <v>20</v>
      </c>
      <c r="J1355">
        <v>3</v>
      </c>
      <c r="K1355" t="s">
        <v>4</v>
      </c>
      <c r="L1355" t="s">
        <v>95</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5">
      <c r="A1356" t="s">
        <v>1440</v>
      </c>
      <c r="B1356" t="s">
        <v>24</v>
      </c>
      <c r="C1356">
        <v>7</v>
      </c>
      <c r="D1356">
        <v>41.4</v>
      </c>
      <c r="E1356">
        <v>289.8</v>
      </c>
      <c r="F1356" s="1">
        <v>45709</v>
      </c>
      <c r="G1356" s="1">
        <v>45710</v>
      </c>
      <c r="H1356" t="s">
        <v>8</v>
      </c>
      <c r="I1356" t="s">
        <v>20</v>
      </c>
      <c r="J1356">
        <v>4</v>
      </c>
      <c r="K1356" t="s">
        <v>4</v>
      </c>
      <c r="L1356" t="s">
        <v>98</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5">
      <c r="A1357" t="s">
        <v>1441</v>
      </c>
      <c r="B1357" t="s">
        <v>52</v>
      </c>
      <c r="C1357">
        <v>8</v>
      </c>
      <c r="D1357">
        <v>34</v>
      </c>
      <c r="E1357">
        <v>272</v>
      </c>
      <c r="F1357" s="1">
        <v>45709</v>
      </c>
      <c r="G1357" s="1">
        <v>45714</v>
      </c>
      <c r="H1357" t="s">
        <v>12</v>
      </c>
      <c r="I1357" t="s">
        <v>3</v>
      </c>
      <c r="J1357">
        <v>5</v>
      </c>
      <c r="K1357" t="s">
        <v>4</v>
      </c>
      <c r="L1357" t="s">
        <v>982</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5">
      <c r="A1358" t="s">
        <v>1442</v>
      </c>
      <c r="B1358" t="s">
        <v>24</v>
      </c>
      <c r="C1358">
        <v>1</v>
      </c>
      <c r="D1358">
        <v>66.3</v>
      </c>
      <c r="E1358">
        <v>66.3</v>
      </c>
      <c r="F1358" s="1">
        <v>45709</v>
      </c>
      <c r="G1358" s="1">
        <v>45710</v>
      </c>
      <c r="H1358" t="s">
        <v>12</v>
      </c>
      <c r="I1358" t="s">
        <v>20</v>
      </c>
      <c r="J1358">
        <v>4</v>
      </c>
      <c r="K1358" t="s">
        <v>4</v>
      </c>
      <c r="L1358" t="s">
        <v>67</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5">
      <c r="A1359" t="s">
        <v>1443</v>
      </c>
      <c r="B1359" t="s">
        <v>27</v>
      </c>
      <c r="C1359">
        <v>1</v>
      </c>
      <c r="D1359">
        <v>33.5</v>
      </c>
      <c r="E1359">
        <v>33.5</v>
      </c>
      <c r="F1359" s="1">
        <v>45709</v>
      </c>
      <c r="G1359" s="1">
        <v>45713</v>
      </c>
      <c r="H1359" t="s">
        <v>8</v>
      </c>
      <c r="I1359" t="s">
        <v>25</v>
      </c>
      <c r="J1359">
        <v>4</v>
      </c>
      <c r="K1359" t="s">
        <v>4</v>
      </c>
      <c r="L1359" t="s">
        <v>67</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5">
      <c r="A1360" t="s">
        <v>1444</v>
      </c>
      <c r="B1360" t="s">
        <v>54</v>
      </c>
      <c r="C1360">
        <v>2</v>
      </c>
      <c r="D1360">
        <v>70.8</v>
      </c>
      <c r="E1360">
        <v>141.6</v>
      </c>
      <c r="F1360" s="1">
        <v>45709</v>
      </c>
      <c r="G1360" s="1">
        <v>45710</v>
      </c>
      <c r="H1360" t="s">
        <v>2</v>
      </c>
      <c r="I1360" t="s">
        <v>3</v>
      </c>
      <c r="J1360">
        <v>4</v>
      </c>
      <c r="K1360" t="s">
        <v>4</v>
      </c>
      <c r="L1360" t="s">
        <v>228</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5">
      <c r="A1361" t="s">
        <v>1445</v>
      </c>
      <c r="B1361" t="s">
        <v>24</v>
      </c>
      <c r="C1361">
        <v>2</v>
      </c>
      <c r="D1361">
        <v>127.6</v>
      </c>
      <c r="E1361">
        <v>255.2</v>
      </c>
      <c r="F1361" s="1">
        <v>45709</v>
      </c>
      <c r="G1361" s="1">
        <v>45710</v>
      </c>
      <c r="H1361" t="s">
        <v>8</v>
      </c>
      <c r="I1361" t="s">
        <v>3</v>
      </c>
      <c r="J1361">
        <v>4</v>
      </c>
      <c r="K1361" t="s">
        <v>4</v>
      </c>
      <c r="L1361" t="s">
        <v>100</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5">
      <c r="A1362" t="s">
        <v>1446</v>
      </c>
      <c r="B1362" t="s">
        <v>24</v>
      </c>
      <c r="C1362">
        <v>3</v>
      </c>
      <c r="D1362">
        <v>95.9</v>
      </c>
      <c r="E1362">
        <v>287.70000000000005</v>
      </c>
      <c r="F1362" s="1">
        <v>45709</v>
      </c>
      <c r="G1362" s="1">
        <v>45710</v>
      </c>
      <c r="H1362" t="s">
        <v>12</v>
      </c>
      <c r="I1362" t="s">
        <v>20</v>
      </c>
      <c r="J1362">
        <v>3</v>
      </c>
      <c r="K1362" t="s">
        <v>4</v>
      </c>
      <c r="L1362" t="s">
        <v>100</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5">
      <c r="A1363" t="s">
        <v>1447</v>
      </c>
      <c r="B1363" t="s">
        <v>11</v>
      </c>
      <c r="C1363">
        <v>2</v>
      </c>
      <c r="D1363">
        <v>78.099999999999994</v>
      </c>
      <c r="E1363">
        <v>156.19999999999999</v>
      </c>
      <c r="F1363" s="1">
        <v>45709</v>
      </c>
      <c r="G1363" s="1">
        <v>45710</v>
      </c>
      <c r="H1363" t="s">
        <v>8</v>
      </c>
      <c r="I1363" t="s">
        <v>3</v>
      </c>
      <c r="J1363">
        <v>4</v>
      </c>
      <c r="K1363" t="s">
        <v>4</v>
      </c>
      <c r="L1363" t="s">
        <v>9</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5">
      <c r="A1364" t="s">
        <v>1448</v>
      </c>
      <c r="B1364" t="s">
        <v>61</v>
      </c>
      <c r="C1364">
        <v>2</v>
      </c>
      <c r="D1364">
        <v>43.2</v>
      </c>
      <c r="E1364">
        <v>86.4</v>
      </c>
      <c r="F1364" s="1">
        <v>45709</v>
      </c>
      <c r="G1364" s="1">
        <v>45710</v>
      </c>
      <c r="H1364" t="s">
        <v>2</v>
      </c>
      <c r="I1364" t="s">
        <v>20</v>
      </c>
      <c r="J1364">
        <v>3</v>
      </c>
      <c r="K1364" t="s">
        <v>4</v>
      </c>
      <c r="L1364" t="s">
        <v>9</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5">
      <c r="A1365" t="s">
        <v>1449</v>
      </c>
      <c r="B1365" t="s">
        <v>29</v>
      </c>
      <c r="C1365">
        <v>4</v>
      </c>
      <c r="D1365">
        <v>28.4</v>
      </c>
      <c r="E1365">
        <v>113.6</v>
      </c>
      <c r="F1365" s="1">
        <v>45709</v>
      </c>
      <c r="G1365" s="1">
        <v>45715</v>
      </c>
      <c r="H1365" t="s">
        <v>8</v>
      </c>
      <c r="I1365" t="s">
        <v>25</v>
      </c>
      <c r="J1365">
        <v>4</v>
      </c>
      <c r="K1365" t="s">
        <v>4</v>
      </c>
      <c r="L1365" t="s">
        <v>18</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5">
      <c r="A1366" t="s">
        <v>1450</v>
      </c>
      <c r="B1366" t="s">
        <v>11</v>
      </c>
      <c r="C1366">
        <v>2</v>
      </c>
      <c r="D1366">
        <v>81.7</v>
      </c>
      <c r="E1366">
        <v>163.4</v>
      </c>
      <c r="F1366" s="1">
        <v>45709</v>
      </c>
      <c r="G1366" s="1">
        <v>45709</v>
      </c>
      <c r="H1366" t="s">
        <v>8</v>
      </c>
      <c r="I1366" t="s">
        <v>3</v>
      </c>
      <c r="J1366">
        <v>4</v>
      </c>
      <c r="K1366" t="s">
        <v>4</v>
      </c>
      <c r="L1366" t="s">
        <v>18</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5">
      <c r="A1367" t="s">
        <v>1451</v>
      </c>
      <c r="B1367" t="s">
        <v>131</v>
      </c>
      <c r="C1367">
        <v>2</v>
      </c>
      <c r="D1367">
        <v>56.7</v>
      </c>
      <c r="E1367">
        <v>113.4</v>
      </c>
      <c r="F1367" s="1">
        <v>45709</v>
      </c>
      <c r="G1367" s="1">
        <v>45711</v>
      </c>
      <c r="H1367" t="s">
        <v>2</v>
      </c>
      <c r="I1367" t="s">
        <v>3</v>
      </c>
      <c r="J1367">
        <v>5</v>
      </c>
      <c r="K1367" t="s">
        <v>4</v>
      </c>
      <c r="L1367" t="s">
        <v>18</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5">
      <c r="A1368" t="s">
        <v>1452</v>
      </c>
      <c r="B1368" t="s">
        <v>15</v>
      </c>
      <c r="C1368">
        <v>4</v>
      </c>
      <c r="D1368">
        <v>66.5</v>
      </c>
      <c r="E1368">
        <v>266</v>
      </c>
      <c r="F1368" s="1">
        <v>45709</v>
      </c>
      <c r="G1368" s="1">
        <v>45709</v>
      </c>
      <c r="H1368" t="s">
        <v>12</v>
      </c>
      <c r="I1368" t="s">
        <v>3</v>
      </c>
      <c r="J1368">
        <v>5</v>
      </c>
      <c r="K1368" t="s">
        <v>4</v>
      </c>
      <c r="L1368" t="s">
        <v>18</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5">
      <c r="A1369" t="s">
        <v>1453</v>
      </c>
      <c r="B1369" t="s">
        <v>7</v>
      </c>
      <c r="C1369">
        <v>2</v>
      </c>
      <c r="D1369">
        <v>105.3</v>
      </c>
      <c r="E1369">
        <v>210.6</v>
      </c>
      <c r="F1369" s="1">
        <v>45709</v>
      </c>
      <c r="G1369" s="1">
        <v>45713</v>
      </c>
      <c r="H1369" t="s">
        <v>8</v>
      </c>
      <c r="I1369" t="s">
        <v>3</v>
      </c>
      <c r="J1369">
        <v>3</v>
      </c>
      <c r="K1369" t="s">
        <v>4</v>
      </c>
      <c r="L1369" t="s">
        <v>18</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5">
      <c r="A1370" t="s">
        <v>1454</v>
      </c>
      <c r="B1370" t="s">
        <v>39</v>
      </c>
      <c r="C1370">
        <v>5</v>
      </c>
      <c r="D1370">
        <v>33.799999999999997</v>
      </c>
      <c r="E1370">
        <v>169</v>
      </c>
      <c r="F1370" s="1">
        <v>45709</v>
      </c>
      <c r="G1370" s="1">
        <v>45714</v>
      </c>
      <c r="H1370" t="s">
        <v>8</v>
      </c>
      <c r="I1370" t="s">
        <v>3</v>
      </c>
      <c r="J1370">
        <v>4</v>
      </c>
      <c r="K1370" t="s">
        <v>4</v>
      </c>
      <c r="L1370" t="s">
        <v>18</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5">
      <c r="A1371" t="s">
        <v>1455</v>
      </c>
      <c r="B1371" t="s">
        <v>24</v>
      </c>
      <c r="C1371">
        <v>3</v>
      </c>
      <c r="D1371">
        <v>63.4</v>
      </c>
      <c r="E1371">
        <v>190.2</v>
      </c>
      <c r="F1371" s="1">
        <v>45709</v>
      </c>
      <c r="G1371" s="1">
        <v>45714</v>
      </c>
      <c r="H1371" t="s">
        <v>8</v>
      </c>
      <c r="I1371" t="s">
        <v>36</v>
      </c>
      <c r="J1371">
        <v>3</v>
      </c>
      <c r="K1371" t="s">
        <v>4</v>
      </c>
      <c r="L1371" t="s">
        <v>171</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5">
      <c r="A1372" t="s">
        <v>1456</v>
      </c>
      <c r="B1372" t="s">
        <v>24</v>
      </c>
      <c r="C1372">
        <v>3</v>
      </c>
      <c r="D1372">
        <v>49</v>
      </c>
      <c r="E1372">
        <v>147</v>
      </c>
      <c r="F1372" s="1">
        <v>45709</v>
      </c>
      <c r="G1372" s="1">
        <v>45713</v>
      </c>
      <c r="H1372" t="s">
        <v>8</v>
      </c>
      <c r="I1372" t="s">
        <v>36</v>
      </c>
      <c r="J1372">
        <v>4</v>
      </c>
      <c r="K1372" t="s">
        <v>4</v>
      </c>
      <c r="L1372" t="s">
        <v>787</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5">
      <c r="A1373" t="s">
        <v>1457</v>
      </c>
      <c r="B1373" t="s">
        <v>7</v>
      </c>
      <c r="C1373">
        <v>2</v>
      </c>
      <c r="D1373">
        <v>40</v>
      </c>
      <c r="E1373">
        <v>80</v>
      </c>
      <c r="F1373" s="1">
        <v>45709</v>
      </c>
      <c r="G1373" s="1">
        <v>45710</v>
      </c>
      <c r="H1373" t="s">
        <v>12</v>
      </c>
      <c r="I1373" t="s">
        <v>55</v>
      </c>
      <c r="J1373">
        <v>3</v>
      </c>
      <c r="K1373" t="s">
        <v>4</v>
      </c>
      <c r="L1373" t="s">
        <v>143</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5">
      <c r="A1374" t="s">
        <v>1458</v>
      </c>
      <c r="B1374" t="s">
        <v>24</v>
      </c>
      <c r="C1374">
        <v>4</v>
      </c>
      <c r="D1374">
        <v>86.3</v>
      </c>
      <c r="E1374">
        <v>345.2</v>
      </c>
      <c r="F1374" s="1">
        <v>45709</v>
      </c>
      <c r="G1374" s="1">
        <v>45710</v>
      </c>
      <c r="H1374" t="s">
        <v>74</v>
      </c>
      <c r="I1374" t="s">
        <v>3</v>
      </c>
      <c r="J1374">
        <v>4</v>
      </c>
      <c r="K1374" t="s">
        <v>4</v>
      </c>
      <c r="L1374" t="s">
        <v>40</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5">
      <c r="A1375" t="s">
        <v>1459</v>
      </c>
      <c r="B1375" t="s">
        <v>24</v>
      </c>
      <c r="C1375">
        <v>1</v>
      </c>
      <c r="D1375">
        <v>51.6</v>
      </c>
      <c r="E1375">
        <v>51.6</v>
      </c>
      <c r="F1375" s="1">
        <v>45709</v>
      </c>
      <c r="G1375" s="1">
        <v>45711</v>
      </c>
      <c r="H1375" t="s">
        <v>12</v>
      </c>
      <c r="I1375" t="s">
        <v>25</v>
      </c>
      <c r="J1375">
        <v>5</v>
      </c>
      <c r="K1375" t="s">
        <v>4</v>
      </c>
      <c r="L1375" t="s">
        <v>40</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5">
      <c r="A1376" t="s">
        <v>1460</v>
      </c>
      <c r="B1376" t="s">
        <v>39</v>
      </c>
      <c r="C1376">
        <v>3</v>
      </c>
      <c r="D1376">
        <v>26.7</v>
      </c>
      <c r="E1376">
        <v>80.099999999999994</v>
      </c>
      <c r="F1376" s="1">
        <v>45709</v>
      </c>
      <c r="G1376" s="1">
        <v>45714</v>
      </c>
      <c r="H1376" t="s">
        <v>12</v>
      </c>
      <c r="I1376" t="s">
        <v>25</v>
      </c>
      <c r="J1376">
        <v>3</v>
      </c>
      <c r="K1376" t="s">
        <v>4</v>
      </c>
      <c r="L1376" t="s">
        <v>40</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5">
      <c r="A1377" t="s">
        <v>1461</v>
      </c>
      <c r="B1377" t="s">
        <v>131</v>
      </c>
      <c r="C1377">
        <v>2</v>
      </c>
      <c r="D1377">
        <v>68.099999999999994</v>
      </c>
      <c r="E1377">
        <v>136.19999999999999</v>
      </c>
      <c r="F1377" s="1">
        <v>45709</v>
      </c>
      <c r="G1377" s="1">
        <v>45710</v>
      </c>
      <c r="H1377" t="s">
        <v>8</v>
      </c>
      <c r="I1377" t="s">
        <v>3</v>
      </c>
      <c r="J1377">
        <v>3</v>
      </c>
      <c r="K1377" t="s">
        <v>4</v>
      </c>
      <c r="L1377" t="s">
        <v>40</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5">
      <c r="A1378" t="s">
        <v>1462</v>
      </c>
      <c r="B1378" t="s">
        <v>7</v>
      </c>
      <c r="C1378">
        <v>1</v>
      </c>
      <c r="D1378">
        <v>81.7</v>
      </c>
      <c r="E1378">
        <v>81.7</v>
      </c>
      <c r="F1378" s="1">
        <v>45709</v>
      </c>
      <c r="G1378" s="1">
        <v>45710</v>
      </c>
      <c r="H1378" t="s">
        <v>8</v>
      </c>
      <c r="I1378" t="s">
        <v>3</v>
      </c>
      <c r="J1378">
        <v>4</v>
      </c>
      <c r="K1378" t="s">
        <v>4</v>
      </c>
      <c r="L1378" t="s">
        <v>44</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5">
      <c r="A1379" t="s">
        <v>1463</v>
      </c>
      <c r="B1379" t="s">
        <v>131</v>
      </c>
      <c r="C1379">
        <v>10</v>
      </c>
      <c r="D1379">
        <v>25.1</v>
      </c>
      <c r="E1379">
        <v>251</v>
      </c>
      <c r="F1379" s="1">
        <v>45709</v>
      </c>
      <c r="G1379" s="1">
        <v>45712</v>
      </c>
      <c r="H1379" t="s">
        <v>8</v>
      </c>
      <c r="I1379" t="s">
        <v>36</v>
      </c>
      <c r="J1379">
        <v>3</v>
      </c>
      <c r="K1379" t="s">
        <v>4</v>
      </c>
      <c r="L1379" t="s">
        <v>47</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5">
      <c r="A1380" t="s">
        <v>1464</v>
      </c>
      <c r="B1380" t="s">
        <v>29</v>
      </c>
      <c r="C1380">
        <v>1</v>
      </c>
      <c r="D1380">
        <v>20.2</v>
      </c>
      <c r="E1380">
        <v>20.2</v>
      </c>
      <c r="F1380" s="1">
        <v>45709</v>
      </c>
      <c r="G1380" s="1">
        <v>45713</v>
      </c>
      <c r="H1380" t="s">
        <v>12</v>
      </c>
      <c r="I1380" t="s">
        <v>3</v>
      </c>
      <c r="J1380">
        <v>4</v>
      </c>
      <c r="K1380" t="s">
        <v>4</v>
      </c>
      <c r="L1380" t="s">
        <v>47</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5">
      <c r="A1381" t="s">
        <v>1465</v>
      </c>
      <c r="B1381" t="s">
        <v>29</v>
      </c>
      <c r="C1381">
        <v>3</v>
      </c>
      <c r="D1381">
        <v>15.4</v>
      </c>
      <c r="E1381">
        <v>46.2</v>
      </c>
      <c r="F1381" s="1">
        <v>45709</v>
      </c>
      <c r="G1381" s="1">
        <v>45710</v>
      </c>
      <c r="H1381" t="s">
        <v>8</v>
      </c>
      <c r="I1381" t="s">
        <v>20</v>
      </c>
      <c r="J1381">
        <v>5</v>
      </c>
      <c r="K1381" t="s">
        <v>4</v>
      </c>
      <c r="L1381" t="s">
        <v>47</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5">
      <c r="A1382" t="s">
        <v>1466</v>
      </c>
      <c r="B1382" t="s">
        <v>39</v>
      </c>
      <c r="C1382">
        <v>1</v>
      </c>
      <c r="D1382">
        <v>59.2</v>
      </c>
      <c r="E1382">
        <v>59.2</v>
      </c>
      <c r="F1382" s="1">
        <v>45709</v>
      </c>
      <c r="G1382" s="1">
        <v>45710</v>
      </c>
      <c r="H1382" t="s">
        <v>8</v>
      </c>
      <c r="I1382" t="s">
        <v>25</v>
      </c>
      <c r="J1382">
        <v>5</v>
      </c>
      <c r="K1382" t="s">
        <v>4</v>
      </c>
      <c r="L1382" t="s">
        <v>88</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5">
      <c r="A1383" t="s">
        <v>1467</v>
      </c>
      <c r="B1383" t="s">
        <v>1</v>
      </c>
      <c r="C1383">
        <v>1</v>
      </c>
      <c r="D1383">
        <v>46.7</v>
      </c>
      <c r="E1383">
        <v>46.7</v>
      </c>
      <c r="F1383" s="1">
        <v>45709</v>
      </c>
      <c r="G1383" s="1">
        <v>45714</v>
      </c>
      <c r="H1383" t="s">
        <v>8</v>
      </c>
      <c r="I1383" t="s">
        <v>3</v>
      </c>
      <c r="J1383">
        <v>4</v>
      </c>
      <c r="K1383" t="s">
        <v>4</v>
      </c>
      <c r="L1383" t="s">
        <v>88</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5">
      <c r="A1384" t="s">
        <v>1468</v>
      </c>
      <c r="B1384" t="s">
        <v>24</v>
      </c>
      <c r="C1384">
        <v>15</v>
      </c>
      <c r="D1384">
        <v>41.6</v>
      </c>
      <c r="E1384">
        <v>624</v>
      </c>
      <c r="F1384" s="1">
        <v>45709</v>
      </c>
      <c r="G1384" s="1">
        <v>45711</v>
      </c>
      <c r="H1384" t="s">
        <v>8</v>
      </c>
      <c r="I1384" t="s">
        <v>20</v>
      </c>
      <c r="J1384">
        <v>4</v>
      </c>
      <c r="K1384" t="s">
        <v>4</v>
      </c>
      <c r="L1384" t="s">
        <v>186</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5">
      <c r="A1385" t="s">
        <v>1469</v>
      </c>
      <c r="B1385" t="s">
        <v>29</v>
      </c>
      <c r="C1385">
        <v>2</v>
      </c>
      <c r="D1385">
        <v>19.2</v>
      </c>
      <c r="E1385">
        <v>38.4</v>
      </c>
      <c r="F1385" s="1">
        <v>45709</v>
      </c>
      <c r="G1385" s="1">
        <v>45712</v>
      </c>
      <c r="H1385" t="s">
        <v>8</v>
      </c>
      <c r="I1385" t="s">
        <v>55</v>
      </c>
      <c r="J1385">
        <v>5</v>
      </c>
      <c r="K1385" t="s">
        <v>4</v>
      </c>
      <c r="L1385" t="s">
        <v>57</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5">
      <c r="A1386" t="s">
        <v>1470</v>
      </c>
      <c r="B1386" t="s">
        <v>120</v>
      </c>
      <c r="C1386">
        <v>7</v>
      </c>
      <c r="D1386">
        <v>41.8</v>
      </c>
      <c r="E1386">
        <v>292.59999999999997</v>
      </c>
      <c r="F1386" s="1">
        <v>45709</v>
      </c>
      <c r="G1386" s="1">
        <v>45711</v>
      </c>
      <c r="H1386" t="s">
        <v>12</v>
      </c>
      <c r="I1386" t="s">
        <v>25</v>
      </c>
      <c r="J1386">
        <v>4</v>
      </c>
      <c r="K1386" t="s">
        <v>4</v>
      </c>
      <c r="L1386" t="s">
        <v>62</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5">
      <c r="A1387" t="s">
        <v>1471</v>
      </c>
      <c r="B1387" t="s">
        <v>29</v>
      </c>
      <c r="C1387">
        <v>6</v>
      </c>
      <c r="D1387">
        <v>37.4</v>
      </c>
      <c r="E1387">
        <v>224.39999999999998</v>
      </c>
      <c r="F1387" s="1">
        <v>45709</v>
      </c>
      <c r="G1387" s="1">
        <v>45711</v>
      </c>
      <c r="H1387" t="s">
        <v>8</v>
      </c>
      <c r="I1387" t="s">
        <v>3</v>
      </c>
      <c r="J1387">
        <v>5</v>
      </c>
      <c r="K1387" t="s">
        <v>4</v>
      </c>
      <c r="L1387" t="s">
        <v>62</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5">
      <c r="A1388" t="s">
        <v>1472</v>
      </c>
      <c r="B1388" t="s">
        <v>39</v>
      </c>
      <c r="C1388">
        <v>3</v>
      </c>
      <c r="D1388">
        <v>60.2</v>
      </c>
      <c r="E1388">
        <v>180.60000000000002</v>
      </c>
      <c r="F1388" s="1">
        <v>45709</v>
      </c>
      <c r="G1388" s="1">
        <v>45712</v>
      </c>
      <c r="H1388" t="s">
        <v>8</v>
      </c>
      <c r="I1388" t="s">
        <v>55</v>
      </c>
      <c r="J1388">
        <v>3</v>
      </c>
      <c r="K1388" t="s">
        <v>4</v>
      </c>
      <c r="L1388" t="s">
        <v>362</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5">
      <c r="A1389" t="s">
        <v>1473</v>
      </c>
      <c r="B1389" t="s">
        <v>31</v>
      </c>
      <c r="C1389">
        <v>2</v>
      </c>
      <c r="D1389">
        <v>91.5</v>
      </c>
      <c r="E1389">
        <v>183</v>
      </c>
      <c r="F1389" s="1">
        <v>45710</v>
      </c>
      <c r="G1389" s="1">
        <v>45711</v>
      </c>
      <c r="H1389" t="s">
        <v>8</v>
      </c>
      <c r="I1389" t="s">
        <v>3</v>
      </c>
      <c r="J1389">
        <v>4</v>
      </c>
      <c r="K1389" t="s">
        <v>4</v>
      </c>
      <c r="L1389" t="s">
        <v>67</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5">
      <c r="A1390" t="s">
        <v>1474</v>
      </c>
      <c r="B1390" t="s">
        <v>15</v>
      </c>
      <c r="C1390">
        <v>5</v>
      </c>
      <c r="D1390">
        <v>55.7</v>
      </c>
      <c r="E1390">
        <v>278.5</v>
      </c>
      <c r="F1390" s="1">
        <v>45710</v>
      </c>
      <c r="G1390" s="1">
        <v>45712</v>
      </c>
      <c r="H1390" t="s">
        <v>2</v>
      </c>
      <c r="I1390" t="s">
        <v>20</v>
      </c>
      <c r="J1390">
        <v>5</v>
      </c>
      <c r="K1390" t="s">
        <v>4</v>
      </c>
      <c r="L1390" t="s">
        <v>100</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5">
      <c r="A1391" t="s">
        <v>1475</v>
      </c>
      <c r="B1391" t="s">
        <v>27</v>
      </c>
      <c r="C1391">
        <v>2</v>
      </c>
      <c r="D1391">
        <v>76.7</v>
      </c>
      <c r="E1391">
        <v>153.4</v>
      </c>
      <c r="F1391" s="1">
        <v>45710</v>
      </c>
      <c r="G1391" s="1">
        <v>45712</v>
      </c>
      <c r="H1391" t="s">
        <v>8</v>
      </c>
      <c r="I1391" t="s">
        <v>3</v>
      </c>
      <c r="J1391">
        <v>3</v>
      </c>
      <c r="K1391" t="s">
        <v>4</v>
      </c>
      <c r="L1391" t="s">
        <v>100</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5">
      <c r="A1392" t="s">
        <v>1476</v>
      </c>
      <c r="B1392" t="s">
        <v>29</v>
      </c>
      <c r="C1392">
        <v>21</v>
      </c>
      <c r="D1392">
        <v>28.2</v>
      </c>
      <c r="E1392">
        <v>592.19999999999993</v>
      </c>
      <c r="F1392" s="1">
        <v>45710</v>
      </c>
      <c r="G1392" s="1">
        <v>45715</v>
      </c>
      <c r="H1392" t="s">
        <v>8</v>
      </c>
      <c r="I1392" t="s">
        <v>25</v>
      </c>
      <c r="J1392">
        <v>4</v>
      </c>
      <c r="K1392" t="s">
        <v>4</v>
      </c>
      <c r="L1392" t="s">
        <v>9</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5">
      <c r="A1393" t="s">
        <v>1477</v>
      </c>
      <c r="B1393" t="s">
        <v>27</v>
      </c>
      <c r="C1393">
        <v>5</v>
      </c>
      <c r="D1393">
        <v>93.2</v>
      </c>
      <c r="E1393">
        <v>466</v>
      </c>
      <c r="F1393" s="1">
        <v>45710</v>
      </c>
      <c r="G1393" s="1">
        <v>45712</v>
      </c>
      <c r="H1393" t="s">
        <v>12</v>
      </c>
      <c r="I1393" t="s">
        <v>55</v>
      </c>
      <c r="J1393">
        <v>5</v>
      </c>
      <c r="K1393" t="s">
        <v>4</v>
      </c>
      <c r="L1393" t="s">
        <v>9</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5">
      <c r="A1394" t="s">
        <v>1478</v>
      </c>
      <c r="B1394" t="s">
        <v>120</v>
      </c>
      <c r="C1394">
        <v>1</v>
      </c>
      <c r="D1394">
        <v>33.299999999999997</v>
      </c>
      <c r="E1394">
        <v>33.299999999999997</v>
      </c>
      <c r="F1394" s="1">
        <v>45710</v>
      </c>
      <c r="G1394" s="1">
        <v>45711</v>
      </c>
      <c r="H1394" t="s">
        <v>8</v>
      </c>
      <c r="I1394" t="s">
        <v>55</v>
      </c>
      <c r="J1394">
        <v>4</v>
      </c>
      <c r="K1394" t="s">
        <v>4</v>
      </c>
      <c r="L1394" t="s">
        <v>13</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5">
      <c r="A1395" t="s">
        <v>1479</v>
      </c>
      <c r="B1395" t="s">
        <v>39</v>
      </c>
      <c r="C1395">
        <v>2</v>
      </c>
      <c r="D1395">
        <v>39.1</v>
      </c>
      <c r="E1395">
        <v>78.2</v>
      </c>
      <c r="F1395" s="1">
        <v>45710</v>
      </c>
      <c r="G1395" s="1">
        <v>45713</v>
      </c>
      <c r="H1395" t="s">
        <v>8</v>
      </c>
      <c r="I1395" t="s">
        <v>3</v>
      </c>
      <c r="J1395">
        <v>4</v>
      </c>
      <c r="K1395" t="s">
        <v>4</v>
      </c>
      <c r="L1395" t="s">
        <v>572</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5">
      <c r="A1396" t="s">
        <v>1480</v>
      </c>
      <c r="B1396" t="s">
        <v>27</v>
      </c>
      <c r="C1396">
        <v>12</v>
      </c>
      <c r="D1396">
        <v>45.3</v>
      </c>
      <c r="E1396">
        <v>543.59999999999991</v>
      </c>
      <c r="F1396" s="1">
        <v>45710</v>
      </c>
      <c r="G1396" s="1">
        <v>45711</v>
      </c>
      <c r="H1396" t="s">
        <v>8</v>
      </c>
      <c r="I1396" t="s">
        <v>25</v>
      </c>
      <c r="J1396">
        <v>4</v>
      </c>
      <c r="K1396" t="s">
        <v>4</v>
      </c>
      <c r="L1396" t="s">
        <v>316</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5">
      <c r="A1397" t="s">
        <v>1481</v>
      </c>
      <c r="B1397" t="s">
        <v>31</v>
      </c>
      <c r="C1397">
        <v>7</v>
      </c>
      <c r="D1397">
        <v>33.9</v>
      </c>
      <c r="E1397">
        <v>237.29999999999998</v>
      </c>
      <c r="F1397" s="1">
        <v>45710</v>
      </c>
      <c r="G1397" s="1">
        <v>45711</v>
      </c>
      <c r="H1397" t="s">
        <v>8</v>
      </c>
      <c r="I1397" t="s">
        <v>55</v>
      </c>
      <c r="J1397">
        <v>4</v>
      </c>
      <c r="K1397" t="s">
        <v>4</v>
      </c>
      <c r="L1397" t="s">
        <v>316</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5">
      <c r="A1398" t="s">
        <v>1482</v>
      </c>
      <c r="B1398" t="s">
        <v>29</v>
      </c>
      <c r="C1398">
        <v>3</v>
      </c>
      <c r="D1398">
        <v>19</v>
      </c>
      <c r="E1398">
        <v>57</v>
      </c>
      <c r="F1398" s="1">
        <v>45710</v>
      </c>
      <c r="G1398" s="1">
        <v>45711</v>
      </c>
      <c r="H1398" t="s">
        <v>8</v>
      </c>
      <c r="I1398" t="s">
        <v>3</v>
      </c>
      <c r="J1398">
        <v>5</v>
      </c>
      <c r="K1398" t="s">
        <v>4</v>
      </c>
      <c r="L1398" t="s">
        <v>71</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5">
      <c r="A1399" t="s">
        <v>1483</v>
      </c>
      <c r="B1399" t="s">
        <v>17</v>
      </c>
      <c r="C1399">
        <v>1</v>
      </c>
      <c r="D1399">
        <v>41.9</v>
      </c>
      <c r="E1399">
        <v>41.9</v>
      </c>
      <c r="F1399" s="1">
        <v>45710</v>
      </c>
      <c r="G1399" s="1">
        <v>45713</v>
      </c>
      <c r="H1399" t="s">
        <v>12</v>
      </c>
      <c r="I1399" t="s">
        <v>25</v>
      </c>
      <c r="J1399">
        <v>4</v>
      </c>
      <c r="K1399" t="s">
        <v>4</v>
      </c>
      <c r="L1399" t="s">
        <v>132</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5">
      <c r="A1400" t="s">
        <v>1484</v>
      </c>
      <c r="B1400" t="s">
        <v>7</v>
      </c>
      <c r="C1400">
        <v>4</v>
      </c>
      <c r="D1400">
        <v>37.5</v>
      </c>
      <c r="E1400">
        <v>150</v>
      </c>
      <c r="F1400" s="1">
        <v>45710</v>
      </c>
      <c r="G1400" s="1">
        <v>45710</v>
      </c>
      <c r="H1400" t="s">
        <v>12</v>
      </c>
      <c r="I1400" t="s">
        <v>3</v>
      </c>
      <c r="J1400">
        <v>4</v>
      </c>
      <c r="K1400" t="s">
        <v>4</v>
      </c>
      <c r="L1400" t="s">
        <v>18</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5">
      <c r="A1401" t="s">
        <v>1485</v>
      </c>
      <c r="B1401" t="s">
        <v>1</v>
      </c>
      <c r="C1401">
        <v>2</v>
      </c>
      <c r="D1401">
        <v>40.799999999999997</v>
      </c>
      <c r="E1401">
        <v>81.599999999999994</v>
      </c>
      <c r="F1401" s="1">
        <v>45710</v>
      </c>
      <c r="G1401" s="1">
        <v>45713</v>
      </c>
      <c r="H1401" t="s">
        <v>8</v>
      </c>
      <c r="I1401" t="s">
        <v>3</v>
      </c>
      <c r="J1401">
        <v>4</v>
      </c>
      <c r="K1401" t="s">
        <v>4</v>
      </c>
      <c r="L1401" t="s">
        <v>18</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5">
      <c r="A1402" t="s">
        <v>1486</v>
      </c>
      <c r="B1402" t="s">
        <v>1</v>
      </c>
      <c r="C1402">
        <v>4</v>
      </c>
      <c r="D1402">
        <v>23.1</v>
      </c>
      <c r="E1402">
        <v>92.4</v>
      </c>
      <c r="F1402" s="1">
        <v>45710</v>
      </c>
      <c r="G1402" s="1">
        <v>45711</v>
      </c>
      <c r="H1402" t="s">
        <v>12</v>
      </c>
      <c r="I1402" t="s">
        <v>55</v>
      </c>
      <c r="J1402">
        <v>4</v>
      </c>
      <c r="K1402" t="s">
        <v>4</v>
      </c>
      <c r="L1402" t="s">
        <v>18</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5">
      <c r="A1403" t="s">
        <v>1487</v>
      </c>
      <c r="B1403" t="s">
        <v>29</v>
      </c>
      <c r="C1403">
        <v>5</v>
      </c>
      <c r="D1403">
        <v>39.299999999999997</v>
      </c>
      <c r="E1403">
        <v>196.5</v>
      </c>
      <c r="F1403" s="1">
        <v>45710</v>
      </c>
      <c r="G1403" s="1">
        <v>45711</v>
      </c>
      <c r="H1403" t="s">
        <v>12</v>
      </c>
      <c r="I1403" t="s">
        <v>3</v>
      </c>
      <c r="J1403">
        <v>4</v>
      </c>
      <c r="K1403" t="s">
        <v>4</v>
      </c>
      <c r="L1403" t="s">
        <v>18</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5">
      <c r="A1404" t="s">
        <v>1488</v>
      </c>
      <c r="B1404" t="s">
        <v>11</v>
      </c>
      <c r="C1404">
        <v>4</v>
      </c>
      <c r="D1404">
        <v>85.2</v>
      </c>
      <c r="E1404">
        <v>340.8</v>
      </c>
      <c r="F1404" s="1">
        <v>45710</v>
      </c>
      <c r="G1404" s="1">
        <v>45715</v>
      </c>
      <c r="H1404" t="s">
        <v>8</v>
      </c>
      <c r="I1404" t="s">
        <v>25</v>
      </c>
      <c r="J1404">
        <v>4</v>
      </c>
      <c r="K1404" t="s">
        <v>4</v>
      </c>
      <c r="L1404" t="s">
        <v>18</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5">
      <c r="A1405" t="s">
        <v>1489</v>
      </c>
      <c r="B1405" t="s">
        <v>29</v>
      </c>
      <c r="C1405">
        <v>6</v>
      </c>
      <c r="D1405">
        <v>16</v>
      </c>
      <c r="E1405">
        <v>96</v>
      </c>
      <c r="F1405" s="1">
        <v>45710</v>
      </c>
      <c r="G1405" s="1">
        <v>45713</v>
      </c>
      <c r="H1405" t="s">
        <v>8</v>
      </c>
      <c r="I1405" t="s">
        <v>20</v>
      </c>
      <c r="J1405">
        <v>4</v>
      </c>
      <c r="K1405" t="s">
        <v>4</v>
      </c>
      <c r="L1405" t="s">
        <v>18</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5">
      <c r="A1406" t="s">
        <v>1490</v>
      </c>
      <c r="B1406" t="s">
        <v>7</v>
      </c>
      <c r="C1406">
        <v>2</v>
      </c>
      <c r="D1406">
        <v>33.799999999999997</v>
      </c>
      <c r="E1406">
        <v>67.599999999999994</v>
      </c>
      <c r="F1406" s="1">
        <v>45710</v>
      </c>
      <c r="G1406" s="1">
        <v>45714</v>
      </c>
      <c r="H1406" t="s">
        <v>12</v>
      </c>
      <c r="I1406" t="s">
        <v>20</v>
      </c>
      <c r="J1406">
        <v>4</v>
      </c>
      <c r="K1406" t="s">
        <v>4</v>
      </c>
      <c r="L1406" t="s">
        <v>18</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5">
      <c r="A1407" t="s">
        <v>1491</v>
      </c>
      <c r="B1407" t="s">
        <v>15</v>
      </c>
      <c r="C1407">
        <v>1</v>
      </c>
      <c r="D1407">
        <v>70</v>
      </c>
      <c r="E1407">
        <v>70</v>
      </c>
      <c r="F1407" s="1">
        <v>45710</v>
      </c>
      <c r="G1407" s="1">
        <v>45711</v>
      </c>
      <c r="H1407" t="s">
        <v>12</v>
      </c>
      <c r="I1407" t="s">
        <v>3</v>
      </c>
      <c r="J1407">
        <v>4</v>
      </c>
      <c r="K1407" t="s">
        <v>4</v>
      </c>
      <c r="L1407" t="s">
        <v>18</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5">
      <c r="A1408" t="s">
        <v>1492</v>
      </c>
      <c r="B1408" t="s">
        <v>31</v>
      </c>
      <c r="C1408">
        <v>1</v>
      </c>
      <c r="D1408">
        <v>88</v>
      </c>
      <c r="E1408">
        <v>88</v>
      </c>
      <c r="F1408" s="1">
        <v>45710</v>
      </c>
      <c r="G1408" s="1">
        <v>45715</v>
      </c>
      <c r="H1408" t="s">
        <v>12</v>
      </c>
      <c r="I1408" t="s">
        <v>36</v>
      </c>
      <c r="J1408">
        <v>4</v>
      </c>
      <c r="K1408" t="s">
        <v>4</v>
      </c>
      <c r="L1408" t="s">
        <v>18</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5">
      <c r="A1409" t="s">
        <v>1493</v>
      </c>
      <c r="B1409" t="s">
        <v>11</v>
      </c>
      <c r="C1409">
        <v>3</v>
      </c>
      <c r="D1409">
        <v>74.099999999999994</v>
      </c>
      <c r="E1409">
        <v>222.29999999999998</v>
      </c>
      <c r="F1409" s="1">
        <v>45710</v>
      </c>
      <c r="G1409" s="1">
        <v>45710</v>
      </c>
      <c r="H1409" t="s">
        <v>8</v>
      </c>
      <c r="I1409" t="s">
        <v>55</v>
      </c>
      <c r="J1409">
        <v>3</v>
      </c>
      <c r="K1409" t="s">
        <v>4</v>
      </c>
      <c r="L1409" t="s">
        <v>18</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5">
      <c r="A1410" t="s">
        <v>1494</v>
      </c>
      <c r="B1410" t="s">
        <v>11</v>
      </c>
      <c r="C1410">
        <v>1</v>
      </c>
      <c r="D1410">
        <v>161.9</v>
      </c>
      <c r="E1410">
        <v>161.9</v>
      </c>
      <c r="F1410" s="1">
        <v>45710</v>
      </c>
      <c r="G1410" s="1">
        <v>45712</v>
      </c>
      <c r="H1410" t="s">
        <v>8</v>
      </c>
      <c r="I1410" t="s">
        <v>25</v>
      </c>
      <c r="J1410">
        <v>4</v>
      </c>
      <c r="K1410" t="s">
        <v>4</v>
      </c>
      <c r="L1410" t="s">
        <v>18</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5">
      <c r="A1411" t="s">
        <v>1495</v>
      </c>
      <c r="B1411" t="s">
        <v>17</v>
      </c>
      <c r="C1411">
        <v>2</v>
      </c>
      <c r="D1411">
        <v>44</v>
      </c>
      <c r="E1411">
        <v>88</v>
      </c>
      <c r="F1411" s="1">
        <v>45710</v>
      </c>
      <c r="G1411" s="1">
        <v>45711</v>
      </c>
      <c r="H1411" t="s">
        <v>74</v>
      </c>
      <c r="I1411" t="s">
        <v>55</v>
      </c>
      <c r="J1411">
        <v>3</v>
      </c>
      <c r="K1411" t="s">
        <v>4</v>
      </c>
      <c r="L1411" t="s">
        <v>18</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5">
      <c r="A1412" t="s">
        <v>1496</v>
      </c>
      <c r="B1412" t="s">
        <v>52</v>
      </c>
      <c r="C1412">
        <v>1</v>
      </c>
      <c r="D1412">
        <v>32.1</v>
      </c>
      <c r="E1412">
        <v>32.1</v>
      </c>
      <c r="F1412" s="1">
        <v>45710</v>
      </c>
      <c r="G1412" s="1">
        <v>45710</v>
      </c>
      <c r="H1412" t="s">
        <v>12</v>
      </c>
      <c r="I1412" t="s">
        <v>36</v>
      </c>
      <c r="J1412">
        <v>1</v>
      </c>
      <c r="K1412" t="s">
        <v>4</v>
      </c>
      <c r="L1412" t="s">
        <v>18</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5">
      <c r="A1413" t="s">
        <v>1497</v>
      </c>
      <c r="B1413" t="s">
        <v>11</v>
      </c>
      <c r="C1413">
        <v>4</v>
      </c>
      <c r="D1413">
        <v>104.8</v>
      </c>
      <c r="E1413">
        <v>419.2</v>
      </c>
      <c r="F1413" s="1">
        <v>45711</v>
      </c>
      <c r="G1413" s="1">
        <v>45713</v>
      </c>
      <c r="H1413" t="s">
        <v>74</v>
      </c>
      <c r="I1413" t="s">
        <v>3</v>
      </c>
      <c r="J1413">
        <v>4</v>
      </c>
      <c r="K1413" t="s">
        <v>4</v>
      </c>
      <c r="L1413" t="s">
        <v>18</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5">
      <c r="A1414" t="s">
        <v>1498</v>
      </c>
      <c r="B1414" t="s">
        <v>31</v>
      </c>
      <c r="C1414">
        <v>6</v>
      </c>
      <c r="D1414">
        <v>67.400000000000006</v>
      </c>
      <c r="E1414">
        <v>404.40000000000003</v>
      </c>
      <c r="F1414" s="1">
        <v>45711</v>
      </c>
      <c r="G1414" s="1">
        <v>45712</v>
      </c>
      <c r="H1414" t="s">
        <v>12</v>
      </c>
      <c r="I1414" t="s">
        <v>36</v>
      </c>
      <c r="J1414">
        <v>4</v>
      </c>
      <c r="K1414" t="s">
        <v>4</v>
      </c>
      <c r="L1414" t="s">
        <v>18</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5">
      <c r="A1415" t="s">
        <v>1499</v>
      </c>
      <c r="B1415" t="s">
        <v>24</v>
      </c>
      <c r="C1415">
        <v>2</v>
      </c>
      <c r="D1415">
        <v>115.2</v>
      </c>
      <c r="E1415">
        <v>230.4</v>
      </c>
      <c r="F1415" s="1">
        <v>45711</v>
      </c>
      <c r="G1415" s="1">
        <v>45712</v>
      </c>
      <c r="H1415" t="s">
        <v>12</v>
      </c>
      <c r="I1415" t="s">
        <v>20</v>
      </c>
      <c r="J1415">
        <v>4</v>
      </c>
      <c r="K1415" t="s">
        <v>4</v>
      </c>
      <c r="L1415" t="s">
        <v>34</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5">
      <c r="A1416" t="s">
        <v>1500</v>
      </c>
      <c r="B1416" t="s">
        <v>29</v>
      </c>
      <c r="C1416">
        <v>29</v>
      </c>
      <c r="D1416">
        <v>15.5</v>
      </c>
      <c r="E1416">
        <v>449.5</v>
      </c>
      <c r="F1416" s="1">
        <v>45711</v>
      </c>
      <c r="G1416" s="1">
        <v>45713</v>
      </c>
      <c r="H1416" t="s">
        <v>12</v>
      </c>
      <c r="I1416" t="s">
        <v>3</v>
      </c>
      <c r="J1416">
        <v>3</v>
      </c>
      <c r="K1416" t="s">
        <v>4</v>
      </c>
      <c r="L1416" t="s">
        <v>143</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5">
      <c r="A1417" t="s">
        <v>1501</v>
      </c>
      <c r="B1417" t="s">
        <v>24</v>
      </c>
      <c r="C1417">
        <v>11</v>
      </c>
      <c r="D1417">
        <v>66.400000000000006</v>
      </c>
      <c r="E1417">
        <v>730.40000000000009</v>
      </c>
      <c r="F1417" s="1">
        <v>45711</v>
      </c>
      <c r="G1417" s="1">
        <v>45713</v>
      </c>
      <c r="H1417" t="s">
        <v>12</v>
      </c>
      <c r="I1417" t="s">
        <v>3</v>
      </c>
      <c r="J1417">
        <v>4</v>
      </c>
      <c r="K1417" t="s">
        <v>4</v>
      </c>
      <c r="L1417" t="s">
        <v>40</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5">
      <c r="A1418" t="s">
        <v>1502</v>
      </c>
      <c r="B1418" t="s">
        <v>31</v>
      </c>
      <c r="C1418">
        <v>12</v>
      </c>
      <c r="D1418">
        <v>68.099999999999994</v>
      </c>
      <c r="E1418">
        <v>817.19999999999993</v>
      </c>
      <c r="F1418" s="1">
        <v>45711</v>
      </c>
      <c r="G1418" s="1">
        <v>45712</v>
      </c>
      <c r="H1418" t="s">
        <v>12</v>
      </c>
      <c r="I1418" t="s">
        <v>25</v>
      </c>
      <c r="J1418">
        <v>4</v>
      </c>
      <c r="K1418" t="s">
        <v>4</v>
      </c>
      <c r="L1418" t="s">
        <v>47</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5">
      <c r="A1419" t="s">
        <v>1503</v>
      </c>
      <c r="B1419" t="s">
        <v>29</v>
      </c>
      <c r="C1419">
        <v>5</v>
      </c>
      <c r="D1419">
        <v>32.5</v>
      </c>
      <c r="E1419">
        <v>162.5</v>
      </c>
      <c r="F1419" s="1">
        <v>45711</v>
      </c>
      <c r="G1419" s="1">
        <v>45715</v>
      </c>
      <c r="H1419" t="s">
        <v>8</v>
      </c>
      <c r="I1419" t="s">
        <v>25</v>
      </c>
      <c r="J1419">
        <v>3</v>
      </c>
      <c r="K1419" t="s">
        <v>4</v>
      </c>
      <c r="L1419" t="s">
        <v>47</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5">
      <c r="A1420" t="s">
        <v>1504</v>
      </c>
      <c r="B1420" t="s">
        <v>108</v>
      </c>
      <c r="C1420">
        <v>3</v>
      </c>
      <c r="D1420">
        <v>61.2</v>
      </c>
      <c r="E1420">
        <v>183.60000000000002</v>
      </c>
      <c r="F1420" s="1">
        <v>45711</v>
      </c>
      <c r="G1420" s="1">
        <v>45713</v>
      </c>
      <c r="H1420" t="s">
        <v>12</v>
      </c>
      <c r="I1420" t="s">
        <v>20</v>
      </c>
      <c r="J1420">
        <v>3</v>
      </c>
      <c r="K1420" t="s">
        <v>4</v>
      </c>
      <c r="L1420" t="s">
        <v>47</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5">
      <c r="A1421" t="s">
        <v>1505</v>
      </c>
      <c r="B1421" t="s">
        <v>31</v>
      </c>
      <c r="C1421">
        <v>2</v>
      </c>
      <c r="D1421">
        <v>54.2</v>
      </c>
      <c r="E1421">
        <v>108.4</v>
      </c>
      <c r="F1421" s="1">
        <v>45711</v>
      </c>
      <c r="G1421" s="1">
        <v>45712</v>
      </c>
      <c r="H1421" t="s">
        <v>12</v>
      </c>
      <c r="I1421" t="s">
        <v>20</v>
      </c>
      <c r="J1421">
        <v>4</v>
      </c>
      <c r="K1421" t="s">
        <v>4</v>
      </c>
      <c r="L1421" t="s">
        <v>47</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5">
      <c r="A1422" t="s">
        <v>1506</v>
      </c>
      <c r="B1422" t="s">
        <v>52</v>
      </c>
      <c r="C1422">
        <v>8</v>
      </c>
      <c r="D1422">
        <v>28.7</v>
      </c>
      <c r="E1422">
        <v>229.6</v>
      </c>
      <c r="F1422" s="1">
        <v>45711</v>
      </c>
      <c r="G1422" s="1">
        <v>45713</v>
      </c>
      <c r="H1422" t="s">
        <v>8</v>
      </c>
      <c r="I1422" t="s">
        <v>20</v>
      </c>
      <c r="J1422">
        <v>4</v>
      </c>
      <c r="K1422" t="s">
        <v>4</v>
      </c>
      <c r="L1422" t="s">
        <v>57</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5">
      <c r="A1423" t="s">
        <v>1507</v>
      </c>
      <c r="B1423" t="s">
        <v>54</v>
      </c>
      <c r="C1423">
        <v>6</v>
      </c>
      <c r="D1423">
        <v>38.200000000000003</v>
      </c>
      <c r="E1423">
        <v>229.20000000000002</v>
      </c>
      <c r="F1423" s="1">
        <v>45711</v>
      </c>
      <c r="G1423" s="1">
        <v>45715</v>
      </c>
      <c r="H1423" t="s">
        <v>12</v>
      </c>
      <c r="I1423" t="s">
        <v>3</v>
      </c>
      <c r="J1423">
        <v>3</v>
      </c>
      <c r="K1423" t="s">
        <v>4</v>
      </c>
      <c r="L1423" t="s">
        <v>57</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5">
      <c r="A1424" t="s">
        <v>1508</v>
      </c>
      <c r="B1424" t="s">
        <v>29</v>
      </c>
      <c r="C1424">
        <v>12</v>
      </c>
      <c r="D1424">
        <v>17.600000000000001</v>
      </c>
      <c r="E1424">
        <v>211.20000000000002</v>
      </c>
      <c r="F1424" s="1">
        <v>45711</v>
      </c>
      <c r="G1424" s="1">
        <v>45712</v>
      </c>
      <c r="H1424" t="s">
        <v>12</v>
      </c>
      <c r="I1424" t="s">
        <v>25</v>
      </c>
      <c r="J1424">
        <v>3</v>
      </c>
      <c r="K1424" t="s">
        <v>4</v>
      </c>
      <c r="L1424" t="s">
        <v>57</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5">
      <c r="A1425" t="s">
        <v>1509</v>
      </c>
      <c r="B1425" t="s">
        <v>39</v>
      </c>
      <c r="C1425">
        <v>3</v>
      </c>
      <c r="D1425">
        <v>74.599999999999994</v>
      </c>
      <c r="E1425">
        <v>223.79999999999998</v>
      </c>
      <c r="F1425" s="1">
        <v>45711</v>
      </c>
      <c r="G1425" s="1">
        <v>45711</v>
      </c>
      <c r="H1425" t="s">
        <v>12</v>
      </c>
      <c r="I1425" t="s">
        <v>25</v>
      </c>
      <c r="J1425">
        <v>4</v>
      </c>
      <c r="K1425" t="s">
        <v>4</v>
      </c>
      <c r="L1425" t="s">
        <v>62</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5">
      <c r="A1426" t="s">
        <v>1510</v>
      </c>
      <c r="B1426" t="s">
        <v>113</v>
      </c>
      <c r="C1426">
        <v>15</v>
      </c>
      <c r="D1426">
        <v>72.599999999999994</v>
      </c>
      <c r="E1426">
        <v>1089</v>
      </c>
      <c r="F1426" s="1">
        <v>45711</v>
      </c>
      <c r="G1426" s="1">
        <v>45711</v>
      </c>
      <c r="H1426" t="s">
        <v>2</v>
      </c>
      <c r="I1426" t="s">
        <v>20</v>
      </c>
      <c r="J1426">
        <v>3</v>
      </c>
      <c r="K1426" t="s">
        <v>4</v>
      </c>
      <c r="L1426" t="s">
        <v>62</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5">
      <c r="A1427" t="s">
        <v>1511</v>
      </c>
      <c r="B1427" t="s">
        <v>27</v>
      </c>
      <c r="C1427">
        <v>1</v>
      </c>
      <c r="D1427">
        <v>62.3</v>
      </c>
      <c r="E1427">
        <v>62.3</v>
      </c>
      <c r="F1427" s="1">
        <v>45711</v>
      </c>
      <c r="G1427" s="1">
        <v>45712</v>
      </c>
      <c r="H1427" t="s">
        <v>12</v>
      </c>
      <c r="I1427" t="s">
        <v>20</v>
      </c>
      <c r="J1427">
        <v>4</v>
      </c>
      <c r="K1427" t="s">
        <v>4</v>
      </c>
      <c r="L1427" t="s">
        <v>62</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5">
      <c r="A1428" t="s">
        <v>1512</v>
      </c>
      <c r="B1428" t="s">
        <v>15</v>
      </c>
      <c r="C1428">
        <v>3</v>
      </c>
      <c r="D1428">
        <v>33.799999999999997</v>
      </c>
      <c r="E1428">
        <v>101.39999999999999</v>
      </c>
      <c r="F1428" s="1">
        <v>45711</v>
      </c>
      <c r="G1428" s="1">
        <v>45713</v>
      </c>
      <c r="H1428" t="s">
        <v>8</v>
      </c>
      <c r="I1428" t="s">
        <v>3</v>
      </c>
      <c r="J1428">
        <v>5</v>
      </c>
      <c r="K1428" t="s">
        <v>4</v>
      </c>
      <c r="L1428" t="s">
        <v>98</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5">
      <c r="A1429" t="s">
        <v>1513</v>
      </c>
      <c r="B1429" t="s">
        <v>31</v>
      </c>
      <c r="C1429">
        <v>1</v>
      </c>
      <c r="D1429">
        <v>85.7</v>
      </c>
      <c r="E1429">
        <v>85.7</v>
      </c>
      <c r="F1429" s="1">
        <v>45711</v>
      </c>
      <c r="G1429" s="1">
        <v>45714</v>
      </c>
      <c r="H1429" t="s">
        <v>8</v>
      </c>
      <c r="I1429" t="s">
        <v>36</v>
      </c>
      <c r="J1429">
        <v>3</v>
      </c>
      <c r="K1429" t="s">
        <v>4</v>
      </c>
      <c r="L1429" t="s">
        <v>100</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5">
      <c r="A1430" t="s">
        <v>1514</v>
      </c>
      <c r="B1430" t="s">
        <v>24</v>
      </c>
      <c r="C1430">
        <v>2</v>
      </c>
      <c r="D1430">
        <v>92.1</v>
      </c>
      <c r="E1430">
        <v>184.2</v>
      </c>
      <c r="F1430" s="1">
        <v>45711</v>
      </c>
      <c r="G1430" s="1">
        <v>45713</v>
      </c>
      <c r="H1430" t="s">
        <v>8</v>
      </c>
      <c r="I1430" t="s">
        <v>20</v>
      </c>
      <c r="J1430">
        <v>4</v>
      </c>
      <c r="K1430" t="s">
        <v>4</v>
      </c>
      <c r="L1430" t="s">
        <v>100</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5">
      <c r="A1431" t="s">
        <v>1515</v>
      </c>
      <c r="B1431" t="s">
        <v>113</v>
      </c>
      <c r="C1431">
        <v>3</v>
      </c>
      <c r="D1431">
        <v>65.099999999999994</v>
      </c>
      <c r="E1431">
        <v>195.29999999999998</v>
      </c>
      <c r="F1431" s="1">
        <v>45711</v>
      </c>
      <c r="G1431" s="1">
        <v>45714</v>
      </c>
      <c r="H1431" t="s">
        <v>8</v>
      </c>
      <c r="I1431" t="s">
        <v>3</v>
      </c>
      <c r="J1431">
        <v>4</v>
      </c>
      <c r="K1431" t="s">
        <v>4</v>
      </c>
      <c r="L1431" t="s">
        <v>9</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5">
      <c r="A1432" t="s">
        <v>1516</v>
      </c>
      <c r="B1432" t="s">
        <v>31</v>
      </c>
      <c r="C1432">
        <v>7</v>
      </c>
      <c r="D1432">
        <v>20.3</v>
      </c>
      <c r="E1432">
        <v>142.1</v>
      </c>
      <c r="F1432" s="1">
        <v>45711</v>
      </c>
      <c r="G1432" s="1">
        <v>45712</v>
      </c>
      <c r="H1432" t="s">
        <v>12</v>
      </c>
      <c r="I1432" t="s">
        <v>25</v>
      </c>
      <c r="J1432">
        <v>5</v>
      </c>
      <c r="K1432" t="s">
        <v>4</v>
      </c>
      <c r="L1432" t="s">
        <v>13</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5">
      <c r="A1433" t="s">
        <v>1517</v>
      </c>
      <c r="B1433" t="s">
        <v>156</v>
      </c>
      <c r="C1433">
        <v>2</v>
      </c>
      <c r="D1433">
        <v>29.8</v>
      </c>
      <c r="E1433">
        <v>59.6</v>
      </c>
      <c r="F1433" s="1">
        <v>45711</v>
      </c>
      <c r="G1433" s="1">
        <v>45713</v>
      </c>
      <c r="H1433" t="s">
        <v>12</v>
      </c>
      <c r="I1433" t="s">
        <v>20</v>
      </c>
      <c r="J1433">
        <v>5</v>
      </c>
      <c r="K1433" t="s">
        <v>4</v>
      </c>
      <c r="L1433" t="s">
        <v>319</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5">
      <c r="A1434" t="s">
        <v>1518</v>
      </c>
      <c r="B1434" t="s">
        <v>1</v>
      </c>
      <c r="C1434">
        <v>2</v>
      </c>
      <c r="D1434">
        <v>24.2</v>
      </c>
      <c r="E1434">
        <v>48.4</v>
      </c>
      <c r="F1434" s="1">
        <v>45711</v>
      </c>
      <c r="G1434" s="1">
        <v>45713</v>
      </c>
      <c r="H1434" t="s">
        <v>12</v>
      </c>
      <c r="I1434" t="s">
        <v>36</v>
      </c>
      <c r="J1434">
        <v>5</v>
      </c>
      <c r="K1434" t="s">
        <v>4</v>
      </c>
      <c r="L1434" t="s">
        <v>18</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5">
      <c r="A1435" t="s">
        <v>1519</v>
      </c>
      <c r="B1435" t="s">
        <v>15</v>
      </c>
      <c r="C1435">
        <v>1</v>
      </c>
      <c r="D1435">
        <v>57.3</v>
      </c>
      <c r="E1435">
        <v>57.3</v>
      </c>
      <c r="F1435" s="1">
        <v>45711</v>
      </c>
      <c r="G1435" s="1">
        <v>45713</v>
      </c>
      <c r="H1435" t="s">
        <v>8</v>
      </c>
      <c r="I1435" t="s">
        <v>3</v>
      </c>
      <c r="J1435">
        <v>4</v>
      </c>
      <c r="K1435" t="s">
        <v>4</v>
      </c>
      <c r="L1435" t="s">
        <v>18</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5">
      <c r="A1436" t="s">
        <v>1520</v>
      </c>
      <c r="B1436" t="s">
        <v>11</v>
      </c>
      <c r="C1436">
        <v>1</v>
      </c>
      <c r="D1436">
        <v>108.9</v>
      </c>
      <c r="E1436">
        <v>108.9</v>
      </c>
      <c r="F1436" s="1">
        <v>45711</v>
      </c>
      <c r="G1436" s="1">
        <v>45713</v>
      </c>
      <c r="H1436" t="s">
        <v>12</v>
      </c>
      <c r="I1436" t="s">
        <v>20</v>
      </c>
      <c r="J1436">
        <v>4</v>
      </c>
      <c r="K1436" t="s">
        <v>4</v>
      </c>
      <c r="L1436" t="s">
        <v>18</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5">
      <c r="A1437" t="s">
        <v>1521</v>
      </c>
      <c r="B1437" t="s">
        <v>27</v>
      </c>
      <c r="C1437">
        <v>5</v>
      </c>
      <c r="D1437">
        <v>50.7</v>
      </c>
      <c r="E1437">
        <v>253.5</v>
      </c>
      <c r="F1437" s="1">
        <v>45711</v>
      </c>
      <c r="G1437" s="1">
        <v>45712</v>
      </c>
      <c r="H1437" t="s">
        <v>12</v>
      </c>
      <c r="I1437" t="s">
        <v>3</v>
      </c>
      <c r="J1437">
        <v>4</v>
      </c>
      <c r="K1437" t="s">
        <v>4</v>
      </c>
      <c r="L1437" t="s">
        <v>18</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5">
      <c r="A1438" t="s">
        <v>1522</v>
      </c>
      <c r="B1438" t="s">
        <v>27</v>
      </c>
      <c r="C1438">
        <v>9</v>
      </c>
      <c r="D1438">
        <v>66.099999999999994</v>
      </c>
      <c r="E1438">
        <v>594.9</v>
      </c>
      <c r="F1438" s="1">
        <v>45711</v>
      </c>
      <c r="G1438" s="1">
        <v>45725</v>
      </c>
      <c r="H1438" t="s">
        <v>12</v>
      </c>
      <c r="I1438" t="s">
        <v>20</v>
      </c>
      <c r="J1438">
        <v>4</v>
      </c>
      <c r="K1438" t="s">
        <v>4</v>
      </c>
      <c r="L1438" t="s">
        <v>18</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5">
      <c r="A1439" t="s">
        <v>1523</v>
      </c>
      <c r="B1439" t="s">
        <v>54</v>
      </c>
      <c r="C1439">
        <v>5</v>
      </c>
      <c r="D1439">
        <v>36.700000000000003</v>
      </c>
      <c r="E1439">
        <v>183.5</v>
      </c>
      <c r="F1439" s="1">
        <v>45711</v>
      </c>
      <c r="G1439" s="1">
        <v>45715</v>
      </c>
      <c r="H1439" t="s">
        <v>12</v>
      </c>
      <c r="I1439" t="s">
        <v>55</v>
      </c>
      <c r="J1439">
        <v>4</v>
      </c>
      <c r="K1439" t="s">
        <v>4</v>
      </c>
      <c r="L1439" t="s">
        <v>18</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5">
      <c r="A1440" t="s">
        <v>1524</v>
      </c>
      <c r="B1440" t="s">
        <v>29</v>
      </c>
      <c r="C1440">
        <v>17</v>
      </c>
      <c r="D1440">
        <v>19.3</v>
      </c>
      <c r="E1440">
        <v>328.1</v>
      </c>
      <c r="F1440" s="1">
        <v>45711</v>
      </c>
      <c r="G1440" s="1">
        <v>45713</v>
      </c>
      <c r="H1440" t="s">
        <v>8</v>
      </c>
      <c r="I1440" t="s">
        <v>3</v>
      </c>
      <c r="J1440">
        <v>4</v>
      </c>
      <c r="K1440" t="s">
        <v>4</v>
      </c>
      <c r="L1440" t="s">
        <v>530</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5">
      <c r="A1441" t="s">
        <v>1525</v>
      </c>
      <c r="B1441" t="s">
        <v>29</v>
      </c>
      <c r="C1441">
        <v>4</v>
      </c>
      <c r="D1441">
        <v>20.7</v>
      </c>
      <c r="E1441">
        <v>82.8</v>
      </c>
      <c r="F1441" s="1">
        <v>45711</v>
      </c>
      <c r="G1441" s="1">
        <v>45712</v>
      </c>
      <c r="H1441" t="s">
        <v>8</v>
      </c>
      <c r="I1441" t="s">
        <v>20</v>
      </c>
      <c r="J1441">
        <v>5</v>
      </c>
      <c r="K1441" t="s">
        <v>4</v>
      </c>
      <c r="L1441" t="s">
        <v>40</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5">
      <c r="A1442" t="s">
        <v>1526</v>
      </c>
      <c r="B1442" t="s">
        <v>22</v>
      </c>
      <c r="C1442">
        <v>3</v>
      </c>
      <c r="D1442">
        <v>54.7</v>
      </c>
      <c r="E1442">
        <v>164.10000000000002</v>
      </c>
      <c r="F1442" s="1">
        <v>45711</v>
      </c>
      <c r="G1442" s="1">
        <v>45711</v>
      </c>
      <c r="H1442" t="s">
        <v>74</v>
      </c>
      <c r="I1442" t="s">
        <v>20</v>
      </c>
      <c r="J1442">
        <v>2</v>
      </c>
      <c r="K1442" t="s">
        <v>4</v>
      </c>
      <c r="L1442" t="s">
        <v>40</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5">
      <c r="A1443" t="s">
        <v>1527</v>
      </c>
      <c r="B1443" t="s">
        <v>17</v>
      </c>
      <c r="C1443">
        <v>2</v>
      </c>
      <c r="D1443">
        <v>19.8</v>
      </c>
      <c r="E1443">
        <v>39.6</v>
      </c>
      <c r="F1443" s="1">
        <v>45711</v>
      </c>
      <c r="G1443" s="1">
        <v>45715</v>
      </c>
      <c r="H1443" t="s">
        <v>12</v>
      </c>
      <c r="I1443" t="s">
        <v>55</v>
      </c>
      <c r="J1443">
        <v>3</v>
      </c>
      <c r="K1443" t="s">
        <v>4</v>
      </c>
      <c r="L1443" t="s">
        <v>47</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5">
      <c r="A1444" t="s">
        <v>1528</v>
      </c>
      <c r="B1444" t="s">
        <v>27</v>
      </c>
      <c r="C1444">
        <v>1</v>
      </c>
      <c r="D1444">
        <v>41.1</v>
      </c>
      <c r="E1444">
        <v>41.1</v>
      </c>
      <c r="F1444" s="1">
        <v>45711</v>
      </c>
      <c r="G1444" s="1">
        <v>45713</v>
      </c>
      <c r="H1444" t="s">
        <v>12</v>
      </c>
      <c r="I1444" t="s">
        <v>3</v>
      </c>
      <c r="J1444">
        <v>5</v>
      </c>
      <c r="K1444" t="s">
        <v>4</v>
      </c>
      <c r="L1444" t="s">
        <v>47</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5">
      <c r="A1445" t="s">
        <v>1529</v>
      </c>
      <c r="B1445" t="s">
        <v>52</v>
      </c>
      <c r="C1445">
        <v>8</v>
      </c>
      <c r="D1445">
        <v>43.5</v>
      </c>
      <c r="E1445">
        <v>348</v>
      </c>
      <c r="F1445" s="1">
        <v>45711</v>
      </c>
      <c r="G1445" s="1">
        <v>45715</v>
      </c>
      <c r="H1445" t="s">
        <v>12</v>
      </c>
      <c r="I1445" t="s">
        <v>36</v>
      </c>
      <c r="J1445">
        <v>4</v>
      </c>
      <c r="K1445" t="s">
        <v>4</v>
      </c>
      <c r="L1445" t="s">
        <v>47</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5">
      <c r="A1446" t="s">
        <v>1530</v>
      </c>
      <c r="B1446" t="s">
        <v>29</v>
      </c>
      <c r="C1446">
        <v>14</v>
      </c>
      <c r="D1446">
        <v>19</v>
      </c>
      <c r="E1446">
        <v>266</v>
      </c>
      <c r="F1446" s="1">
        <v>45711</v>
      </c>
      <c r="G1446" s="1">
        <v>45712</v>
      </c>
      <c r="H1446" t="s">
        <v>8</v>
      </c>
      <c r="I1446" t="s">
        <v>3</v>
      </c>
      <c r="J1446">
        <v>4</v>
      </c>
      <c r="K1446" t="s">
        <v>4</v>
      </c>
      <c r="L1446" t="s">
        <v>186</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5">
      <c r="A1447" t="s">
        <v>1531</v>
      </c>
      <c r="B1447" t="s">
        <v>11</v>
      </c>
      <c r="C1447">
        <v>4</v>
      </c>
      <c r="D1447">
        <v>51.4</v>
      </c>
      <c r="E1447">
        <v>205.6</v>
      </c>
      <c r="F1447" s="1">
        <v>45711</v>
      </c>
      <c r="G1447" s="1">
        <v>45711</v>
      </c>
      <c r="H1447" t="s">
        <v>12</v>
      </c>
      <c r="I1447" t="s">
        <v>3</v>
      </c>
      <c r="J1447">
        <v>4</v>
      </c>
      <c r="K1447" t="s">
        <v>4</v>
      </c>
      <c r="L1447" t="s">
        <v>186</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5">
      <c r="A1448" t="s">
        <v>1532</v>
      </c>
      <c r="B1448" t="s">
        <v>39</v>
      </c>
      <c r="C1448">
        <v>2</v>
      </c>
      <c r="D1448">
        <v>39.799999999999997</v>
      </c>
      <c r="E1448">
        <v>79.599999999999994</v>
      </c>
      <c r="F1448" s="1">
        <v>45711</v>
      </c>
      <c r="G1448" s="1">
        <v>45714</v>
      </c>
      <c r="H1448" t="s">
        <v>8</v>
      </c>
      <c r="I1448" t="s">
        <v>36</v>
      </c>
      <c r="J1448">
        <v>3</v>
      </c>
      <c r="K1448" t="s">
        <v>4</v>
      </c>
      <c r="L1448" t="s">
        <v>67</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5">
      <c r="A1449" t="s">
        <v>1533</v>
      </c>
      <c r="B1449" t="s">
        <v>24</v>
      </c>
      <c r="C1449">
        <v>5</v>
      </c>
      <c r="D1449">
        <v>61</v>
      </c>
      <c r="E1449">
        <v>305</v>
      </c>
      <c r="F1449" s="1">
        <v>45711</v>
      </c>
      <c r="G1449" s="1">
        <v>45712</v>
      </c>
      <c r="H1449" t="s">
        <v>2</v>
      </c>
      <c r="I1449" t="s">
        <v>3</v>
      </c>
      <c r="J1449">
        <v>5</v>
      </c>
      <c r="K1449" t="s">
        <v>4</v>
      </c>
      <c r="L1449" t="s">
        <v>100</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5">
      <c r="A1450" t="s">
        <v>1534</v>
      </c>
      <c r="B1450" t="s">
        <v>29</v>
      </c>
      <c r="C1450">
        <v>11</v>
      </c>
      <c r="D1450">
        <v>15.1</v>
      </c>
      <c r="E1450">
        <v>166.1</v>
      </c>
      <c r="F1450" s="1">
        <v>45712</v>
      </c>
      <c r="G1450" s="1">
        <v>45717</v>
      </c>
      <c r="H1450" t="s">
        <v>8</v>
      </c>
      <c r="I1450" t="s">
        <v>36</v>
      </c>
      <c r="J1450">
        <v>5</v>
      </c>
      <c r="K1450" t="s">
        <v>4</v>
      </c>
      <c r="L1450" t="s">
        <v>13</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5">
      <c r="A1451" t="s">
        <v>1535</v>
      </c>
      <c r="B1451" t="s">
        <v>7</v>
      </c>
      <c r="C1451">
        <v>7</v>
      </c>
      <c r="D1451">
        <v>71.3</v>
      </c>
      <c r="E1451">
        <v>499.09999999999997</v>
      </c>
      <c r="F1451" s="1">
        <v>45712</v>
      </c>
      <c r="G1451" s="1">
        <v>45713</v>
      </c>
      <c r="H1451" t="s">
        <v>8</v>
      </c>
      <c r="I1451" t="s">
        <v>55</v>
      </c>
      <c r="J1451">
        <v>4</v>
      </c>
      <c r="K1451" t="s">
        <v>4</v>
      </c>
      <c r="L1451" t="s">
        <v>18</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5">
      <c r="A1452" t="s">
        <v>1536</v>
      </c>
      <c r="B1452" t="s">
        <v>39</v>
      </c>
      <c r="C1452">
        <v>1</v>
      </c>
      <c r="D1452">
        <v>25.8</v>
      </c>
      <c r="E1452">
        <v>25.8</v>
      </c>
      <c r="F1452" s="1">
        <v>45712</v>
      </c>
      <c r="G1452" s="1">
        <v>45714</v>
      </c>
      <c r="H1452" t="s">
        <v>12</v>
      </c>
      <c r="I1452" t="s">
        <v>3</v>
      </c>
      <c r="J1452">
        <v>5</v>
      </c>
      <c r="K1452" t="s">
        <v>4</v>
      </c>
      <c r="L1452" t="s">
        <v>18</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5">
      <c r="A1453" t="s">
        <v>1537</v>
      </c>
      <c r="B1453" t="s">
        <v>29</v>
      </c>
      <c r="C1453">
        <v>5</v>
      </c>
      <c r="D1453">
        <v>39.6</v>
      </c>
      <c r="E1453">
        <v>198</v>
      </c>
      <c r="F1453" s="1">
        <v>45712</v>
      </c>
      <c r="G1453" s="1">
        <v>45714</v>
      </c>
      <c r="H1453" t="s">
        <v>8</v>
      </c>
      <c r="I1453" t="s">
        <v>20</v>
      </c>
      <c r="J1453">
        <v>5</v>
      </c>
      <c r="K1453" t="s">
        <v>4</v>
      </c>
      <c r="L1453" t="s">
        <v>18</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5">
      <c r="A1454" t="s">
        <v>1538</v>
      </c>
      <c r="B1454" t="s">
        <v>22</v>
      </c>
      <c r="C1454">
        <v>2</v>
      </c>
      <c r="D1454">
        <v>64</v>
      </c>
      <c r="E1454">
        <v>128</v>
      </c>
      <c r="F1454" s="1">
        <v>45712</v>
      </c>
      <c r="G1454" s="1">
        <v>45712</v>
      </c>
      <c r="H1454" t="s">
        <v>8</v>
      </c>
      <c r="I1454" t="s">
        <v>20</v>
      </c>
      <c r="J1454">
        <v>3</v>
      </c>
      <c r="K1454" t="s">
        <v>4</v>
      </c>
      <c r="L1454" t="s">
        <v>18</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5">
      <c r="A1455" t="s">
        <v>1539</v>
      </c>
      <c r="B1455" t="s">
        <v>29</v>
      </c>
      <c r="C1455">
        <v>2</v>
      </c>
      <c r="D1455">
        <v>30.6</v>
      </c>
      <c r="E1455">
        <v>61.2</v>
      </c>
      <c r="F1455" s="1">
        <v>45712</v>
      </c>
      <c r="G1455" s="1">
        <v>45715</v>
      </c>
      <c r="H1455" t="s">
        <v>8</v>
      </c>
      <c r="I1455" t="s">
        <v>3</v>
      </c>
      <c r="J1455">
        <v>5</v>
      </c>
      <c r="K1455" t="s">
        <v>4</v>
      </c>
      <c r="L1455" t="s">
        <v>18</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5">
      <c r="A1456" t="s">
        <v>1540</v>
      </c>
      <c r="B1456" t="s">
        <v>29</v>
      </c>
      <c r="C1456">
        <v>2</v>
      </c>
      <c r="D1456">
        <v>21.3</v>
      </c>
      <c r="E1456">
        <v>42.6</v>
      </c>
      <c r="F1456" s="1">
        <v>45712</v>
      </c>
      <c r="G1456" s="1">
        <v>45713</v>
      </c>
      <c r="H1456" t="s">
        <v>8</v>
      </c>
      <c r="I1456" t="s">
        <v>3</v>
      </c>
      <c r="J1456">
        <v>3</v>
      </c>
      <c r="K1456" t="s">
        <v>4</v>
      </c>
      <c r="L1456" t="s">
        <v>18</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5">
      <c r="A1457" t="s">
        <v>1541</v>
      </c>
      <c r="B1457" t="s">
        <v>27</v>
      </c>
      <c r="C1457">
        <v>1</v>
      </c>
      <c r="D1457">
        <v>40.799999999999997</v>
      </c>
      <c r="E1457">
        <v>40.799999999999997</v>
      </c>
      <c r="F1457" s="1">
        <v>45712</v>
      </c>
      <c r="G1457" s="1">
        <v>45714</v>
      </c>
      <c r="H1457" t="s">
        <v>12</v>
      </c>
      <c r="I1457" t="s">
        <v>55</v>
      </c>
      <c r="J1457">
        <v>4</v>
      </c>
      <c r="K1457" t="s">
        <v>4</v>
      </c>
      <c r="L1457" t="s">
        <v>18</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5">
      <c r="A1458" t="s">
        <v>1542</v>
      </c>
      <c r="B1458" t="s">
        <v>31</v>
      </c>
      <c r="C1458">
        <v>4</v>
      </c>
      <c r="D1458">
        <v>27.7</v>
      </c>
      <c r="E1458">
        <v>110.8</v>
      </c>
      <c r="F1458" s="1">
        <v>45712</v>
      </c>
      <c r="G1458" s="1">
        <v>45713</v>
      </c>
      <c r="H1458" t="s">
        <v>12</v>
      </c>
      <c r="I1458" t="s">
        <v>3</v>
      </c>
      <c r="J1458">
        <v>3</v>
      </c>
      <c r="K1458" t="s">
        <v>4</v>
      </c>
      <c r="L1458" t="s">
        <v>18</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5">
      <c r="A1459" t="s">
        <v>1543</v>
      </c>
      <c r="B1459" t="s">
        <v>24</v>
      </c>
      <c r="C1459">
        <v>2</v>
      </c>
      <c r="D1459">
        <v>64.599999999999994</v>
      </c>
      <c r="E1459">
        <v>129.19999999999999</v>
      </c>
      <c r="F1459" s="1">
        <v>45712</v>
      </c>
      <c r="G1459" s="1">
        <v>45713</v>
      </c>
      <c r="H1459" t="s">
        <v>8</v>
      </c>
      <c r="I1459" t="s">
        <v>3</v>
      </c>
      <c r="J1459">
        <v>3</v>
      </c>
      <c r="K1459" t="s">
        <v>4</v>
      </c>
      <c r="L1459" t="s">
        <v>18</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5">
      <c r="A1460" t="s">
        <v>1544</v>
      </c>
      <c r="B1460" t="s">
        <v>24</v>
      </c>
      <c r="C1460">
        <v>16</v>
      </c>
      <c r="D1460">
        <v>91.1</v>
      </c>
      <c r="E1460">
        <v>1457.6</v>
      </c>
      <c r="F1460" s="1">
        <v>45712</v>
      </c>
      <c r="G1460" s="1">
        <v>45713</v>
      </c>
      <c r="H1460" t="s">
        <v>12</v>
      </c>
      <c r="I1460" t="s">
        <v>20</v>
      </c>
      <c r="J1460">
        <v>5</v>
      </c>
      <c r="K1460" t="s">
        <v>4</v>
      </c>
      <c r="L1460" t="s">
        <v>18</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5">
      <c r="A1461" t="s">
        <v>1545</v>
      </c>
      <c r="B1461" t="s">
        <v>7</v>
      </c>
      <c r="C1461">
        <v>1</v>
      </c>
      <c r="D1461">
        <v>39.5</v>
      </c>
      <c r="E1461">
        <v>39.5</v>
      </c>
      <c r="F1461" s="1">
        <v>45712</v>
      </c>
      <c r="G1461" s="1">
        <v>45720</v>
      </c>
      <c r="H1461" t="s">
        <v>12</v>
      </c>
      <c r="I1461" t="s">
        <v>3</v>
      </c>
      <c r="J1461">
        <v>4</v>
      </c>
      <c r="K1461" t="s">
        <v>4</v>
      </c>
      <c r="L1461" t="s">
        <v>18</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5">
      <c r="A1462" t="s">
        <v>1546</v>
      </c>
      <c r="B1462" t="s">
        <v>31</v>
      </c>
      <c r="C1462">
        <v>2</v>
      </c>
      <c r="D1462">
        <v>21.8</v>
      </c>
      <c r="E1462">
        <v>43.6</v>
      </c>
      <c r="F1462" s="1">
        <v>45712</v>
      </c>
      <c r="G1462" s="1">
        <v>45716</v>
      </c>
      <c r="H1462" t="s">
        <v>8</v>
      </c>
      <c r="I1462" t="s">
        <v>55</v>
      </c>
      <c r="J1462">
        <v>5</v>
      </c>
      <c r="K1462" t="s">
        <v>4</v>
      </c>
      <c r="L1462" t="s">
        <v>18</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5">
      <c r="A1463" t="s">
        <v>1547</v>
      </c>
      <c r="B1463" t="s">
        <v>29</v>
      </c>
      <c r="C1463">
        <v>2</v>
      </c>
      <c r="D1463">
        <v>51</v>
      </c>
      <c r="E1463">
        <v>102</v>
      </c>
      <c r="F1463" s="1">
        <v>45712</v>
      </c>
      <c r="G1463" s="1">
        <v>45715</v>
      </c>
      <c r="H1463" t="s">
        <v>8</v>
      </c>
      <c r="I1463" t="s">
        <v>36</v>
      </c>
      <c r="J1463">
        <v>5</v>
      </c>
      <c r="K1463" t="s">
        <v>4</v>
      </c>
      <c r="L1463" t="s">
        <v>18</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5">
      <c r="A1464" t="s">
        <v>1548</v>
      </c>
      <c r="B1464" t="s">
        <v>11</v>
      </c>
      <c r="C1464">
        <v>1</v>
      </c>
      <c r="D1464">
        <v>92.6</v>
      </c>
      <c r="E1464">
        <v>92.6</v>
      </c>
      <c r="F1464" s="1">
        <v>45712</v>
      </c>
      <c r="G1464" s="1">
        <v>45715</v>
      </c>
      <c r="H1464" t="s">
        <v>12</v>
      </c>
      <c r="I1464" t="s">
        <v>3</v>
      </c>
      <c r="J1464">
        <v>5</v>
      </c>
      <c r="K1464" t="s">
        <v>4</v>
      </c>
      <c r="L1464" t="s">
        <v>323</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5">
      <c r="A1465" t="s">
        <v>1549</v>
      </c>
      <c r="B1465" t="s">
        <v>31</v>
      </c>
      <c r="C1465">
        <v>2</v>
      </c>
      <c r="D1465">
        <v>31.1</v>
      </c>
      <c r="E1465">
        <v>62.2</v>
      </c>
      <c r="F1465" s="1">
        <v>45712</v>
      </c>
      <c r="G1465" s="1">
        <v>45717</v>
      </c>
      <c r="H1465" t="s">
        <v>2</v>
      </c>
      <c r="I1465" t="s">
        <v>20</v>
      </c>
      <c r="J1465">
        <v>1</v>
      </c>
      <c r="K1465" t="s">
        <v>4</v>
      </c>
      <c r="L1465" t="s">
        <v>143</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5">
      <c r="A1466" t="s">
        <v>1550</v>
      </c>
      <c r="B1466" t="s">
        <v>22</v>
      </c>
      <c r="C1466">
        <v>3</v>
      </c>
      <c r="D1466">
        <v>56.4</v>
      </c>
      <c r="E1466">
        <v>169.2</v>
      </c>
      <c r="F1466" s="1">
        <v>45712</v>
      </c>
      <c r="G1466" s="1">
        <v>45713</v>
      </c>
      <c r="H1466" t="s">
        <v>2</v>
      </c>
      <c r="I1466" t="s">
        <v>20</v>
      </c>
      <c r="J1466">
        <v>4</v>
      </c>
      <c r="K1466" t="s">
        <v>4</v>
      </c>
      <c r="L1466" t="s">
        <v>40</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5">
      <c r="A1467" t="s">
        <v>1551</v>
      </c>
      <c r="B1467" t="s">
        <v>31</v>
      </c>
      <c r="C1467">
        <v>1</v>
      </c>
      <c r="D1467">
        <v>41.9</v>
      </c>
      <c r="E1467">
        <v>41.9</v>
      </c>
      <c r="F1467" s="1">
        <v>45712</v>
      </c>
      <c r="G1467" s="1">
        <v>45712</v>
      </c>
      <c r="H1467" t="s">
        <v>8</v>
      </c>
      <c r="I1467" t="s">
        <v>20</v>
      </c>
      <c r="J1467">
        <v>4</v>
      </c>
      <c r="K1467" t="s">
        <v>4</v>
      </c>
      <c r="L1467" t="s">
        <v>40</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5">
      <c r="A1468" t="s">
        <v>1552</v>
      </c>
      <c r="B1468" t="s">
        <v>39</v>
      </c>
      <c r="C1468">
        <v>7</v>
      </c>
      <c r="D1468">
        <v>45.9</v>
      </c>
      <c r="E1468">
        <v>321.3</v>
      </c>
      <c r="F1468" s="1">
        <v>45712</v>
      </c>
      <c r="G1468" s="1">
        <v>45713</v>
      </c>
      <c r="H1468" t="s">
        <v>8</v>
      </c>
      <c r="I1468" t="s">
        <v>36</v>
      </c>
      <c r="J1468">
        <v>5</v>
      </c>
      <c r="K1468" t="s">
        <v>4</v>
      </c>
      <c r="L1468" t="s">
        <v>47</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5">
      <c r="A1469" t="s">
        <v>1553</v>
      </c>
      <c r="B1469" t="s">
        <v>66</v>
      </c>
      <c r="C1469">
        <v>9</v>
      </c>
      <c r="D1469">
        <v>24.4</v>
      </c>
      <c r="E1469">
        <v>219.6</v>
      </c>
      <c r="F1469" s="1">
        <v>45712</v>
      </c>
      <c r="G1469" s="1">
        <v>45716</v>
      </c>
      <c r="H1469" t="s">
        <v>8</v>
      </c>
      <c r="I1469" t="s">
        <v>36</v>
      </c>
      <c r="J1469">
        <v>5</v>
      </c>
      <c r="K1469" t="s">
        <v>4</v>
      </c>
      <c r="L1469" t="s">
        <v>47</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5">
      <c r="A1470" t="s">
        <v>1554</v>
      </c>
      <c r="B1470" t="s">
        <v>29</v>
      </c>
      <c r="C1470">
        <v>1</v>
      </c>
      <c r="D1470">
        <v>18.2</v>
      </c>
      <c r="E1470">
        <v>18.2</v>
      </c>
      <c r="F1470" s="1">
        <v>45712</v>
      </c>
      <c r="G1470" s="1">
        <v>45713</v>
      </c>
      <c r="H1470" t="s">
        <v>12</v>
      </c>
      <c r="I1470" t="s">
        <v>25</v>
      </c>
      <c r="J1470">
        <v>5</v>
      </c>
      <c r="K1470" t="s">
        <v>4</v>
      </c>
      <c r="L1470" t="s">
        <v>47</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5">
      <c r="A1471" t="s">
        <v>1555</v>
      </c>
      <c r="B1471" t="s">
        <v>29</v>
      </c>
      <c r="C1471">
        <v>4</v>
      </c>
      <c r="D1471">
        <v>51.2</v>
      </c>
      <c r="E1471">
        <v>204.8</v>
      </c>
      <c r="F1471" s="1">
        <v>45712</v>
      </c>
      <c r="G1471" s="1">
        <v>45713</v>
      </c>
      <c r="H1471" t="s">
        <v>12</v>
      </c>
      <c r="I1471" t="s">
        <v>3</v>
      </c>
      <c r="J1471">
        <v>4</v>
      </c>
      <c r="K1471" t="s">
        <v>4</v>
      </c>
      <c r="L1471" t="s">
        <v>47</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5">
      <c r="A1472" t="s">
        <v>1556</v>
      </c>
      <c r="B1472" t="s">
        <v>24</v>
      </c>
      <c r="C1472">
        <v>1</v>
      </c>
      <c r="D1472">
        <v>59.7</v>
      </c>
      <c r="E1472">
        <v>59.7</v>
      </c>
      <c r="F1472" s="1">
        <v>45712</v>
      </c>
      <c r="G1472" s="1">
        <v>45715</v>
      </c>
      <c r="H1472" t="s">
        <v>8</v>
      </c>
      <c r="I1472" t="s">
        <v>3</v>
      </c>
      <c r="J1472">
        <v>5</v>
      </c>
      <c r="K1472" t="s">
        <v>4</v>
      </c>
      <c r="L1472" t="s">
        <v>47</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5">
      <c r="A1473" t="s">
        <v>1557</v>
      </c>
      <c r="B1473" t="s">
        <v>17</v>
      </c>
      <c r="C1473">
        <v>2</v>
      </c>
      <c r="D1473">
        <v>33.6</v>
      </c>
      <c r="E1473">
        <v>67.2</v>
      </c>
      <c r="F1473" s="1">
        <v>45712</v>
      </c>
      <c r="G1473" s="1">
        <v>45714</v>
      </c>
      <c r="H1473" t="s">
        <v>12</v>
      </c>
      <c r="I1473" t="s">
        <v>3</v>
      </c>
      <c r="J1473">
        <v>4</v>
      </c>
      <c r="K1473" t="s">
        <v>4</v>
      </c>
      <c r="L1473" t="s">
        <v>88</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5">
      <c r="A1474" t="s">
        <v>1558</v>
      </c>
      <c r="B1474" t="s">
        <v>54</v>
      </c>
      <c r="C1474">
        <v>1</v>
      </c>
      <c r="D1474">
        <v>90.4</v>
      </c>
      <c r="E1474">
        <v>90.4</v>
      </c>
      <c r="F1474" s="1">
        <v>45712</v>
      </c>
      <c r="G1474" s="1">
        <v>45716</v>
      </c>
      <c r="H1474" t="s">
        <v>8</v>
      </c>
      <c r="I1474" t="s">
        <v>20</v>
      </c>
      <c r="J1474">
        <v>5</v>
      </c>
      <c r="K1474" t="s">
        <v>4</v>
      </c>
      <c r="L1474" t="s">
        <v>59</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5">
      <c r="A1475" t="s">
        <v>1559</v>
      </c>
      <c r="B1475" t="s">
        <v>52</v>
      </c>
      <c r="C1475">
        <v>3</v>
      </c>
      <c r="D1475">
        <v>70.3</v>
      </c>
      <c r="E1475">
        <v>210.89999999999998</v>
      </c>
      <c r="F1475" s="1">
        <v>45712</v>
      </c>
      <c r="G1475" s="1">
        <v>45712</v>
      </c>
      <c r="H1475" t="s">
        <v>8</v>
      </c>
      <c r="I1475" t="s">
        <v>20</v>
      </c>
      <c r="J1475">
        <v>5</v>
      </c>
      <c r="K1475" t="s">
        <v>4</v>
      </c>
      <c r="L1475" t="s">
        <v>62</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5">
      <c r="A1476" t="s">
        <v>1560</v>
      </c>
      <c r="B1476" t="s">
        <v>17</v>
      </c>
      <c r="C1476">
        <v>2</v>
      </c>
      <c r="D1476">
        <v>20.5</v>
      </c>
      <c r="E1476">
        <v>41</v>
      </c>
      <c r="F1476" s="1">
        <v>45712</v>
      </c>
      <c r="G1476" s="1">
        <v>45715</v>
      </c>
      <c r="H1476" t="s">
        <v>12</v>
      </c>
      <c r="I1476" t="s">
        <v>3</v>
      </c>
      <c r="J1476">
        <v>3</v>
      </c>
      <c r="K1476" t="s">
        <v>4</v>
      </c>
      <c r="L1476" t="s">
        <v>62</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5">
      <c r="A1477" t="s">
        <v>1561</v>
      </c>
      <c r="B1477" t="s">
        <v>22</v>
      </c>
      <c r="C1477">
        <v>11</v>
      </c>
      <c r="D1477">
        <v>37.6</v>
      </c>
      <c r="E1477">
        <v>413.6</v>
      </c>
      <c r="F1477" s="1">
        <v>45712</v>
      </c>
      <c r="G1477" s="1">
        <v>45713</v>
      </c>
      <c r="H1477" t="s">
        <v>8</v>
      </c>
      <c r="I1477" t="s">
        <v>3</v>
      </c>
      <c r="J1477">
        <v>4</v>
      </c>
      <c r="K1477" t="s">
        <v>4</v>
      </c>
      <c r="L1477" t="s">
        <v>362</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5">
      <c r="A1478" t="s">
        <v>1562</v>
      </c>
      <c r="B1478" t="s">
        <v>22</v>
      </c>
      <c r="C1478">
        <v>4</v>
      </c>
      <c r="D1478">
        <v>61.5</v>
      </c>
      <c r="E1478">
        <v>246</v>
      </c>
      <c r="F1478" s="1">
        <v>45712</v>
      </c>
      <c r="G1478" s="1">
        <v>45719</v>
      </c>
      <c r="H1478" t="s">
        <v>12</v>
      </c>
      <c r="I1478" t="s">
        <v>20</v>
      </c>
      <c r="J1478">
        <v>2</v>
      </c>
      <c r="K1478" t="s">
        <v>4</v>
      </c>
      <c r="L1478" t="s">
        <v>67</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5">
      <c r="A1479" t="s">
        <v>1563</v>
      </c>
      <c r="B1479" t="s">
        <v>31</v>
      </c>
      <c r="C1479">
        <v>1</v>
      </c>
      <c r="D1479">
        <v>33.5</v>
      </c>
      <c r="E1479">
        <v>33.5</v>
      </c>
      <c r="F1479" s="1">
        <v>45713</v>
      </c>
      <c r="G1479" s="1">
        <v>45717</v>
      </c>
      <c r="H1479" t="s">
        <v>8</v>
      </c>
      <c r="I1479" t="s">
        <v>55</v>
      </c>
      <c r="J1479">
        <v>3</v>
      </c>
      <c r="K1479" t="s">
        <v>4</v>
      </c>
      <c r="L1479" t="s">
        <v>100</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5">
      <c r="A1480" t="s">
        <v>1564</v>
      </c>
      <c r="B1480" t="s">
        <v>17</v>
      </c>
      <c r="C1480">
        <v>3</v>
      </c>
      <c r="D1480">
        <v>29.3</v>
      </c>
      <c r="E1480">
        <v>87.9</v>
      </c>
      <c r="F1480" s="1">
        <v>45713</v>
      </c>
      <c r="G1480" s="1">
        <v>45715</v>
      </c>
      <c r="H1480" t="s">
        <v>12</v>
      </c>
      <c r="I1480" t="s">
        <v>20</v>
      </c>
      <c r="J1480">
        <v>5</v>
      </c>
      <c r="K1480" t="s">
        <v>4</v>
      </c>
      <c r="L1480" t="s">
        <v>9</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5">
      <c r="A1481" t="s">
        <v>1565</v>
      </c>
      <c r="B1481" t="s">
        <v>11</v>
      </c>
      <c r="C1481">
        <v>2</v>
      </c>
      <c r="D1481">
        <v>125.9</v>
      </c>
      <c r="E1481">
        <v>251.8</v>
      </c>
      <c r="F1481" s="1">
        <v>45713</v>
      </c>
      <c r="G1481" s="1">
        <v>45718</v>
      </c>
      <c r="H1481" t="s">
        <v>12</v>
      </c>
      <c r="I1481" t="s">
        <v>55</v>
      </c>
      <c r="J1481">
        <v>3</v>
      </c>
      <c r="K1481" t="s">
        <v>4</v>
      </c>
      <c r="L1481" t="s">
        <v>9</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5">
      <c r="A1482" t="s">
        <v>1566</v>
      </c>
      <c r="B1482" t="s">
        <v>22</v>
      </c>
      <c r="C1482">
        <v>5</v>
      </c>
      <c r="D1482">
        <v>29.3</v>
      </c>
      <c r="E1482">
        <v>146.5</v>
      </c>
      <c r="F1482" s="1">
        <v>45713</v>
      </c>
      <c r="G1482" s="1">
        <v>45713</v>
      </c>
      <c r="H1482" t="s">
        <v>8</v>
      </c>
      <c r="I1482" t="s">
        <v>25</v>
      </c>
      <c r="J1482">
        <v>4</v>
      </c>
      <c r="K1482" t="s">
        <v>4</v>
      </c>
      <c r="L1482" t="s">
        <v>572</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5">
      <c r="A1483" t="s">
        <v>1567</v>
      </c>
      <c r="B1483" t="s">
        <v>31</v>
      </c>
      <c r="C1483">
        <v>1</v>
      </c>
      <c r="D1483">
        <v>37.799999999999997</v>
      </c>
      <c r="E1483">
        <v>37.799999999999997</v>
      </c>
      <c r="F1483" s="1">
        <v>45713</v>
      </c>
      <c r="G1483" s="1">
        <v>45716</v>
      </c>
      <c r="H1483" t="s">
        <v>12</v>
      </c>
      <c r="I1483" t="s">
        <v>3</v>
      </c>
      <c r="J1483">
        <v>5</v>
      </c>
      <c r="K1483" t="s">
        <v>4</v>
      </c>
      <c r="L1483" t="s">
        <v>18</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5">
      <c r="A1484" t="s">
        <v>1568</v>
      </c>
      <c r="B1484" t="s">
        <v>1</v>
      </c>
      <c r="C1484">
        <v>4</v>
      </c>
      <c r="D1484">
        <v>31.7</v>
      </c>
      <c r="E1484">
        <v>126.8</v>
      </c>
      <c r="F1484" s="1">
        <v>45713</v>
      </c>
      <c r="G1484" s="1">
        <v>45714</v>
      </c>
      <c r="H1484" t="s">
        <v>8</v>
      </c>
      <c r="I1484" t="s">
        <v>25</v>
      </c>
      <c r="J1484">
        <v>5</v>
      </c>
      <c r="K1484" t="s">
        <v>4</v>
      </c>
      <c r="L1484" t="s">
        <v>18</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5">
      <c r="A1485" t="s">
        <v>1569</v>
      </c>
      <c r="B1485" t="s">
        <v>29</v>
      </c>
      <c r="C1485">
        <v>5</v>
      </c>
      <c r="D1485">
        <v>26.3</v>
      </c>
      <c r="E1485">
        <v>131.5</v>
      </c>
      <c r="F1485" s="1">
        <v>45713</v>
      </c>
      <c r="G1485" s="1">
        <v>45714</v>
      </c>
      <c r="H1485" t="s">
        <v>12</v>
      </c>
      <c r="I1485" t="s">
        <v>36</v>
      </c>
      <c r="J1485">
        <v>5</v>
      </c>
      <c r="K1485" t="s">
        <v>4</v>
      </c>
      <c r="L1485" t="s">
        <v>18</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5">
      <c r="A1486" t="s">
        <v>1570</v>
      </c>
      <c r="B1486" t="s">
        <v>29</v>
      </c>
      <c r="C1486">
        <v>3</v>
      </c>
      <c r="D1486">
        <v>23.1</v>
      </c>
      <c r="E1486">
        <v>69.300000000000011</v>
      </c>
      <c r="F1486" s="1">
        <v>45713</v>
      </c>
      <c r="G1486" s="1">
        <v>45714</v>
      </c>
      <c r="H1486" t="s">
        <v>74</v>
      </c>
      <c r="I1486" t="s">
        <v>25</v>
      </c>
      <c r="J1486">
        <v>3</v>
      </c>
      <c r="K1486" t="s">
        <v>4</v>
      </c>
      <c r="L1486" t="s">
        <v>18</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5">
      <c r="A1487" t="s">
        <v>1571</v>
      </c>
      <c r="B1487" t="s">
        <v>17</v>
      </c>
      <c r="C1487">
        <v>1</v>
      </c>
      <c r="D1487">
        <v>22.3</v>
      </c>
      <c r="E1487">
        <v>22.3</v>
      </c>
      <c r="F1487" s="1">
        <v>45713</v>
      </c>
      <c r="G1487" s="1">
        <v>45715</v>
      </c>
      <c r="H1487" t="s">
        <v>12</v>
      </c>
      <c r="I1487" t="s">
        <v>25</v>
      </c>
      <c r="J1487">
        <v>4</v>
      </c>
      <c r="K1487" t="s">
        <v>4</v>
      </c>
      <c r="L1487" t="s">
        <v>18</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5">
      <c r="A1488" t="s">
        <v>1572</v>
      </c>
      <c r="B1488" t="s">
        <v>54</v>
      </c>
      <c r="C1488">
        <v>2</v>
      </c>
      <c r="D1488">
        <v>99.5</v>
      </c>
      <c r="E1488">
        <v>199</v>
      </c>
      <c r="F1488" s="1">
        <v>45713</v>
      </c>
      <c r="G1488" s="1">
        <v>45715</v>
      </c>
      <c r="H1488" t="s">
        <v>12</v>
      </c>
      <c r="I1488" t="s">
        <v>25</v>
      </c>
      <c r="J1488">
        <v>4</v>
      </c>
      <c r="K1488" t="s">
        <v>4</v>
      </c>
      <c r="L1488" t="s">
        <v>18</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5">
      <c r="A1489" t="s">
        <v>1573</v>
      </c>
      <c r="B1489" t="s">
        <v>54</v>
      </c>
      <c r="C1489">
        <v>4</v>
      </c>
      <c r="D1489">
        <v>47.4</v>
      </c>
      <c r="E1489">
        <v>189.6</v>
      </c>
      <c r="F1489" s="1">
        <v>45713</v>
      </c>
      <c r="G1489" s="1">
        <v>45716</v>
      </c>
      <c r="H1489" t="s">
        <v>12</v>
      </c>
      <c r="I1489" t="s">
        <v>20</v>
      </c>
      <c r="J1489">
        <v>4</v>
      </c>
      <c r="K1489" t="s">
        <v>4</v>
      </c>
      <c r="L1489" t="s">
        <v>18</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5">
      <c r="A1490" t="s">
        <v>1574</v>
      </c>
      <c r="B1490" t="s">
        <v>1</v>
      </c>
      <c r="C1490">
        <v>11</v>
      </c>
      <c r="D1490">
        <v>37.5</v>
      </c>
      <c r="E1490">
        <v>412.5</v>
      </c>
      <c r="F1490" s="1">
        <v>45713</v>
      </c>
      <c r="G1490" s="1">
        <v>45715</v>
      </c>
      <c r="H1490" t="s">
        <v>12</v>
      </c>
      <c r="I1490" t="s">
        <v>3</v>
      </c>
      <c r="J1490">
        <v>1</v>
      </c>
      <c r="K1490" t="s">
        <v>4</v>
      </c>
      <c r="L1490" t="s">
        <v>18</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5">
      <c r="A1491" t="s">
        <v>1575</v>
      </c>
      <c r="B1491" t="s">
        <v>39</v>
      </c>
      <c r="C1491">
        <v>1</v>
      </c>
      <c r="D1491">
        <v>45.1</v>
      </c>
      <c r="E1491">
        <v>45.1</v>
      </c>
      <c r="F1491" s="1">
        <v>45713</v>
      </c>
      <c r="G1491" s="1">
        <v>45718</v>
      </c>
      <c r="H1491" t="s">
        <v>8</v>
      </c>
      <c r="I1491" t="s">
        <v>36</v>
      </c>
      <c r="J1491">
        <v>5</v>
      </c>
      <c r="K1491" t="s">
        <v>4</v>
      </c>
      <c r="L1491" t="s">
        <v>171</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5">
      <c r="A1492" t="s">
        <v>1576</v>
      </c>
      <c r="B1492" t="s">
        <v>22</v>
      </c>
      <c r="C1492">
        <v>10</v>
      </c>
      <c r="D1492">
        <v>34.4</v>
      </c>
      <c r="E1492">
        <v>344</v>
      </c>
      <c r="F1492" s="1">
        <v>45713</v>
      </c>
      <c r="G1492" s="1">
        <v>45716</v>
      </c>
      <c r="H1492" t="s">
        <v>8</v>
      </c>
      <c r="I1492" t="s">
        <v>25</v>
      </c>
      <c r="J1492">
        <v>4</v>
      </c>
      <c r="K1492" t="s">
        <v>4</v>
      </c>
      <c r="L1492" t="s">
        <v>83</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5">
      <c r="A1493" t="s">
        <v>1577</v>
      </c>
      <c r="B1493" t="s">
        <v>17</v>
      </c>
      <c r="C1493">
        <v>2</v>
      </c>
      <c r="D1493">
        <v>38</v>
      </c>
      <c r="E1493">
        <v>76</v>
      </c>
      <c r="F1493" s="1">
        <v>45713</v>
      </c>
      <c r="G1493" s="1">
        <v>45715</v>
      </c>
      <c r="H1493" t="s">
        <v>12</v>
      </c>
      <c r="I1493" t="s">
        <v>20</v>
      </c>
      <c r="J1493">
        <v>4</v>
      </c>
      <c r="K1493" t="s">
        <v>4</v>
      </c>
      <c r="L1493" t="s">
        <v>37</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5">
      <c r="A1494" t="s">
        <v>1578</v>
      </c>
      <c r="B1494" t="s">
        <v>15</v>
      </c>
      <c r="C1494">
        <v>14</v>
      </c>
      <c r="D1494">
        <v>32.4</v>
      </c>
      <c r="E1494">
        <v>453.59999999999997</v>
      </c>
      <c r="F1494" s="1">
        <v>45713</v>
      </c>
      <c r="G1494" s="1">
        <v>45716</v>
      </c>
      <c r="H1494" t="s">
        <v>8</v>
      </c>
      <c r="I1494" t="s">
        <v>55</v>
      </c>
      <c r="J1494">
        <v>4</v>
      </c>
      <c r="K1494" t="s">
        <v>4</v>
      </c>
      <c r="L1494" t="s">
        <v>40</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5">
      <c r="A1495" t="s">
        <v>1579</v>
      </c>
      <c r="B1495" t="s">
        <v>24</v>
      </c>
      <c r="C1495">
        <v>3</v>
      </c>
      <c r="D1495">
        <v>40.9</v>
      </c>
      <c r="E1495">
        <v>122.69999999999999</v>
      </c>
      <c r="F1495" s="1">
        <v>45713</v>
      </c>
      <c r="G1495" s="1">
        <v>45713</v>
      </c>
      <c r="H1495" t="s">
        <v>2</v>
      </c>
      <c r="I1495" t="s">
        <v>20</v>
      </c>
      <c r="J1495">
        <v>4</v>
      </c>
      <c r="K1495" t="s">
        <v>4</v>
      </c>
      <c r="L1495" t="s">
        <v>47</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5">
      <c r="A1496" t="s">
        <v>1580</v>
      </c>
      <c r="B1496" t="s">
        <v>27</v>
      </c>
      <c r="C1496">
        <v>7</v>
      </c>
      <c r="D1496">
        <v>76.2</v>
      </c>
      <c r="E1496">
        <v>533.4</v>
      </c>
      <c r="F1496" s="1">
        <v>45713</v>
      </c>
      <c r="G1496" s="1">
        <v>45715</v>
      </c>
      <c r="H1496" t="s">
        <v>12</v>
      </c>
      <c r="I1496" t="s">
        <v>25</v>
      </c>
      <c r="J1496">
        <v>3</v>
      </c>
      <c r="K1496" t="s">
        <v>4</v>
      </c>
      <c r="L1496" t="s">
        <v>47</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5">
      <c r="A1497" t="s">
        <v>1581</v>
      </c>
      <c r="B1497" t="s">
        <v>11</v>
      </c>
      <c r="C1497">
        <v>1</v>
      </c>
      <c r="D1497">
        <v>85.6</v>
      </c>
      <c r="E1497">
        <v>85.6</v>
      </c>
      <c r="F1497" s="1">
        <v>45713</v>
      </c>
      <c r="G1497" s="1">
        <v>45715</v>
      </c>
      <c r="H1497" t="s">
        <v>8</v>
      </c>
      <c r="I1497" t="s">
        <v>25</v>
      </c>
      <c r="J1497">
        <v>4</v>
      </c>
      <c r="K1497" t="s">
        <v>4</v>
      </c>
      <c r="L1497" t="s">
        <v>47</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5">
      <c r="A1498" t="s">
        <v>1582</v>
      </c>
      <c r="B1498" t="s">
        <v>17</v>
      </c>
      <c r="C1498">
        <v>4</v>
      </c>
      <c r="D1498">
        <v>25</v>
      </c>
      <c r="E1498">
        <v>100</v>
      </c>
      <c r="F1498" s="1">
        <v>45713</v>
      </c>
      <c r="G1498" s="1">
        <v>45715</v>
      </c>
      <c r="H1498" t="s">
        <v>12</v>
      </c>
      <c r="I1498" t="s">
        <v>25</v>
      </c>
      <c r="J1498">
        <v>5</v>
      </c>
      <c r="K1498" t="s">
        <v>4</v>
      </c>
      <c r="L1498" t="s">
        <v>47</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5">
      <c r="A1499" t="s">
        <v>1583</v>
      </c>
      <c r="B1499" t="s">
        <v>11</v>
      </c>
      <c r="C1499">
        <v>5</v>
      </c>
      <c r="D1499">
        <v>150.69999999999999</v>
      </c>
      <c r="E1499">
        <v>753.5</v>
      </c>
      <c r="F1499" s="1">
        <v>45713</v>
      </c>
      <c r="G1499" s="1">
        <v>45714</v>
      </c>
      <c r="H1499" t="s">
        <v>2</v>
      </c>
      <c r="I1499" t="s">
        <v>3</v>
      </c>
      <c r="J1499">
        <v>5</v>
      </c>
      <c r="K1499" t="s">
        <v>4</v>
      </c>
      <c r="L1499" t="s">
        <v>47</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5">
      <c r="A1500" t="s">
        <v>1584</v>
      </c>
      <c r="B1500" t="s">
        <v>29</v>
      </c>
      <c r="C1500">
        <v>1</v>
      </c>
      <c r="D1500">
        <v>19.600000000000001</v>
      </c>
      <c r="E1500">
        <v>19.600000000000001</v>
      </c>
      <c r="F1500" s="1">
        <v>45713</v>
      </c>
      <c r="G1500" s="1">
        <v>45714</v>
      </c>
      <c r="H1500" t="s">
        <v>8</v>
      </c>
      <c r="I1500" t="s">
        <v>20</v>
      </c>
      <c r="J1500">
        <v>2</v>
      </c>
      <c r="K1500" t="s">
        <v>4</v>
      </c>
      <c r="L1500" t="s">
        <v>47</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5">
      <c r="A1501" t="s">
        <v>1585</v>
      </c>
      <c r="B1501" t="s">
        <v>61</v>
      </c>
      <c r="C1501">
        <v>2</v>
      </c>
      <c r="D1501">
        <v>37.5</v>
      </c>
      <c r="E1501">
        <v>75</v>
      </c>
      <c r="F1501" s="1">
        <v>45713</v>
      </c>
      <c r="G1501" s="1">
        <v>45716</v>
      </c>
      <c r="H1501" t="s">
        <v>12</v>
      </c>
      <c r="I1501" t="s">
        <v>20</v>
      </c>
      <c r="J1501">
        <v>5</v>
      </c>
      <c r="K1501" t="s">
        <v>4</v>
      </c>
      <c r="L1501" t="s">
        <v>88</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5">
      <c r="A1502" t="s">
        <v>1586</v>
      </c>
      <c r="B1502" t="s">
        <v>31</v>
      </c>
      <c r="C1502">
        <v>3</v>
      </c>
      <c r="D1502">
        <v>51.9</v>
      </c>
      <c r="E1502">
        <v>155.69999999999999</v>
      </c>
      <c r="F1502" s="1">
        <v>45713</v>
      </c>
      <c r="G1502" s="1">
        <v>45719</v>
      </c>
      <c r="H1502" t="s">
        <v>12</v>
      </c>
      <c r="I1502" t="s">
        <v>3</v>
      </c>
      <c r="J1502">
        <v>2</v>
      </c>
      <c r="K1502" t="s">
        <v>4</v>
      </c>
      <c r="L1502" t="s">
        <v>62</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5">
      <c r="A1503" t="s">
        <v>1587</v>
      </c>
      <c r="B1503" t="s">
        <v>7</v>
      </c>
      <c r="C1503">
        <v>2</v>
      </c>
      <c r="D1503">
        <v>30.9</v>
      </c>
      <c r="E1503">
        <v>61.8</v>
      </c>
      <c r="F1503" s="1">
        <v>45713</v>
      </c>
      <c r="G1503" s="1">
        <v>45715</v>
      </c>
      <c r="H1503" t="s">
        <v>12</v>
      </c>
      <c r="I1503" t="s">
        <v>20</v>
      </c>
      <c r="J1503">
        <v>4</v>
      </c>
      <c r="K1503" t="s">
        <v>4</v>
      </c>
      <c r="L1503" t="s">
        <v>93</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5">
      <c r="A1504" t="s">
        <v>1588</v>
      </c>
      <c r="B1504" t="s">
        <v>17</v>
      </c>
      <c r="C1504">
        <v>3</v>
      </c>
      <c r="D1504">
        <v>21.2</v>
      </c>
      <c r="E1504">
        <v>63.599999999999994</v>
      </c>
      <c r="F1504" s="1">
        <v>45713</v>
      </c>
      <c r="G1504" s="1">
        <v>45716</v>
      </c>
      <c r="H1504" t="s">
        <v>12</v>
      </c>
      <c r="I1504" t="s">
        <v>20</v>
      </c>
      <c r="J1504">
        <v>4</v>
      </c>
      <c r="K1504" t="s">
        <v>4</v>
      </c>
      <c r="L1504" t="s">
        <v>95</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5">
      <c r="A1505" t="s">
        <v>1589</v>
      </c>
      <c r="B1505" t="s">
        <v>61</v>
      </c>
      <c r="C1505">
        <v>17</v>
      </c>
      <c r="D1505">
        <v>17.5</v>
      </c>
      <c r="E1505">
        <v>297.5</v>
      </c>
      <c r="F1505" s="1">
        <v>45713</v>
      </c>
      <c r="G1505" s="1">
        <v>45714</v>
      </c>
      <c r="H1505" t="s">
        <v>8</v>
      </c>
      <c r="I1505" t="s">
        <v>20</v>
      </c>
      <c r="J1505">
        <v>3</v>
      </c>
      <c r="K1505" t="s">
        <v>4</v>
      </c>
      <c r="L1505" t="s">
        <v>67</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5">
      <c r="A1506" t="s">
        <v>1590</v>
      </c>
      <c r="B1506" t="s">
        <v>54</v>
      </c>
      <c r="C1506">
        <v>2</v>
      </c>
      <c r="D1506">
        <v>53.8</v>
      </c>
      <c r="E1506">
        <v>107.6</v>
      </c>
      <c r="F1506" s="1">
        <v>45713</v>
      </c>
      <c r="G1506" s="1">
        <v>45718</v>
      </c>
      <c r="H1506" t="s">
        <v>12</v>
      </c>
      <c r="I1506" t="s">
        <v>3</v>
      </c>
      <c r="J1506">
        <v>5</v>
      </c>
      <c r="K1506" t="s">
        <v>4</v>
      </c>
      <c r="L1506" t="s">
        <v>100</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5">
      <c r="A1507" t="s">
        <v>1591</v>
      </c>
      <c r="B1507" t="s">
        <v>156</v>
      </c>
      <c r="C1507">
        <v>2</v>
      </c>
      <c r="D1507">
        <v>17</v>
      </c>
      <c r="E1507">
        <v>34</v>
      </c>
      <c r="F1507" s="1">
        <v>45713</v>
      </c>
      <c r="G1507" s="1">
        <v>45714</v>
      </c>
      <c r="H1507" t="s">
        <v>8</v>
      </c>
      <c r="I1507" t="s">
        <v>36</v>
      </c>
      <c r="J1507">
        <v>4</v>
      </c>
      <c r="K1507" t="s">
        <v>4</v>
      </c>
      <c r="L1507" t="s">
        <v>100</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5">
      <c r="A1508" t="s">
        <v>1592</v>
      </c>
      <c r="B1508" t="s">
        <v>24</v>
      </c>
      <c r="C1508">
        <v>1</v>
      </c>
      <c r="D1508">
        <v>103.2</v>
      </c>
      <c r="E1508">
        <v>103.2</v>
      </c>
      <c r="F1508" s="1">
        <v>45713</v>
      </c>
      <c r="G1508" s="1">
        <v>45721</v>
      </c>
      <c r="H1508" t="s">
        <v>8</v>
      </c>
      <c r="I1508" t="s">
        <v>25</v>
      </c>
      <c r="J1508">
        <v>3</v>
      </c>
      <c r="K1508" t="s">
        <v>4</v>
      </c>
      <c r="L1508" t="s">
        <v>9</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5">
      <c r="A1509" t="s">
        <v>1593</v>
      </c>
      <c r="B1509" t="s">
        <v>24</v>
      </c>
      <c r="C1509">
        <v>4</v>
      </c>
      <c r="D1509">
        <v>70.3</v>
      </c>
      <c r="E1509">
        <v>281.2</v>
      </c>
      <c r="F1509" s="1">
        <v>45713</v>
      </c>
      <c r="G1509" s="1">
        <v>45714</v>
      </c>
      <c r="H1509" t="s">
        <v>8</v>
      </c>
      <c r="I1509" t="s">
        <v>3</v>
      </c>
      <c r="J1509">
        <v>4</v>
      </c>
      <c r="K1509" t="s">
        <v>4</v>
      </c>
      <c r="L1509" t="s">
        <v>18</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5">
      <c r="A1510" t="s">
        <v>1594</v>
      </c>
      <c r="B1510" t="s">
        <v>11</v>
      </c>
      <c r="C1510">
        <v>2</v>
      </c>
      <c r="D1510">
        <v>73.8</v>
      </c>
      <c r="E1510">
        <v>147.6</v>
      </c>
      <c r="F1510" s="1">
        <v>45713</v>
      </c>
      <c r="G1510" s="1">
        <v>45713</v>
      </c>
      <c r="H1510" t="s">
        <v>8</v>
      </c>
      <c r="I1510" t="s">
        <v>36</v>
      </c>
      <c r="J1510">
        <v>5</v>
      </c>
      <c r="K1510" t="s">
        <v>4</v>
      </c>
      <c r="L1510" t="s">
        <v>18</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5">
      <c r="A1511" t="s">
        <v>1595</v>
      </c>
      <c r="B1511" t="s">
        <v>7</v>
      </c>
      <c r="C1511">
        <v>12</v>
      </c>
      <c r="D1511">
        <v>67.7</v>
      </c>
      <c r="E1511">
        <v>812.40000000000009</v>
      </c>
      <c r="F1511" s="1">
        <v>45713</v>
      </c>
      <c r="G1511" s="1">
        <v>45717</v>
      </c>
      <c r="H1511" t="s">
        <v>8</v>
      </c>
      <c r="I1511" t="s">
        <v>20</v>
      </c>
      <c r="J1511">
        <v>3</v>
      </c>
      <c r="K1511" t="s">
        <v>4</v>
      </c>
      <c r="L1511" t="s">
        <v>18</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5">
      <c r="A1512" t="s">
        <v>1596</v>
      </c>
      <c r="B1512" t="s">
        <v>61</v>
      </c>
      <c r="C1512">
        <v>7</v>
      </c>
      <c r="D1512">
        <v>43.8</v>
      </c>
      <c r="E1512">
        <v>306.59999999999997</v>
      </c>
      <c r="F1512" s="1">
        <v>45713</v>
      </c>
      <c r="G1512" s="1">
        <v>45715</v>
      </c>
      <c r="H1512" t="s">
        <v>8</v>
      </c>
      <c r="I1512" t="s">
        <v>20</v>
      </c>
      <c r="J1512">
        <v>4</v>
      </c>
      <c r="K1512" t="s">
        <v>4</v>
      </c>
      <c r="L1512" t="s">
        <v>18</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5">
      <c r="A1513" t="s">
        <v>1597</v>
      </c>
      <c r="B1513" t="s">
        <v>120</v>
      </c>
      <c r="C1513">
        <v>6</v>
      </c>
      <c r="D1513">
        <v>71.900000000000006</v>
      </c>
      <c r="E1513">
        <v>431.40000000000003</v>
      </c>
      <c r="F1513" s="1">
        <v>45713</v>
      </c>
      <c r="G1513" s="1">
        <v>45714</v>
      </c>
      <c r="H1513" t="s">
        <v>12</v>
      </c>
      <c r="I1513" t="s">
        <v>25</v>
      </c>
      <c r="J1513">
        <v>4</v>
      </c>
      <c r="K1513" t="s">
        <v>4</v>
      </c>
      <c r="L1513" t="s">
        <v>18</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5">
      <c r="A1514" t="s">
        <v>1598</v>
      </c>
      <c r="B1514" t="s">
        <v>29</v>
      </c>
      <c r="C1514">
        <v>2</v>
      </c>
      <c r="D1514">
        <v>26.3</v>
      </c>
      <c r="E1514">
        <v>52.6</v>
      </c>
      <c r="F1514" s="1">
        <v>45714</v>
      </c>
      <c r="G1514" s="1">
        <v>45716</v>
      </c>
      <c r="H1514" t="s">
        <v>12</v>
      </c>
      <c r="I1514" t="s">
        <v>3</v>
      </c>
      <c r="J1514">
        <v>3</v>
      </c>
      <c r="K1514" t="s">
        <v>4</v>
      </c>
      <c r="L1514" t="s">
        <v>18</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5">
      <c r="A1515" t="s">
        <v>1599</v>
      </c>
      <c r="B1515" t="s">
        <v>24</v>
      </c>
      <c r="C1515">
        <v>4</v>
      </c>
      <c r="D1515">
        <v>52.6</v>
      </c>
      <c r="E1515">
        <v>210.4</v>
      </c>
      <c r="F1515" s="1">
        <v>45714</v>
      </c>
      <c r="G1515" s="1">
        <v>45716</v>
      </c>
      <c r="H1515" t="s">
        <v>12</v>
      </c>
      <c r="I1515" t="s">
        <v>25</v>
      </c>
      <c r="J1515">
        <v>3</v>
      </c>
      <c r="K1515" t="s">
        <v>4</v>
      </c>
      <c r="L1515" t="s">
        <v>18</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5">
      <c r="A1516" t="s">
        <v>1600</v>
      </c>
      <c r="B1516" t="s">
        <v>39</v>
      </c>
      <c r="C1516">
        <v>1</v>
      </c>
      <c r="D1516">
        <v>32.700000000000003</v>
      </c>
      <c r="E1516">
        <v>32.700000000000003</v>
      </c>
      <c r="F1516" s="1">
        <v>45714</v>
      </c>
      <c r="G1516" s="1">
        <v>45721</v>
      </c>
      <c r="H1516" t="s">
        <v>12</v>
      </c>
      <c r="I1516" t="s">
        <v>3</v>
      </c>
      <c r="J1516">
        <v>5</v>
      </c>
      <c r="K1516" t="s">
        <v>4</v>
      </c>
      <c r="L1516" t="s">
        <v>18</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5">
      <c r="A1517" t="s">
        <v>1601</v>
      </c>
      <c r="B1517" t="s">
        <v>22</v>
      </c>
      <c r="C1517">
        <v>4</v>
      </c>
      <c r="D1517">
        <v>38.9</v>
      </c>
      <c r="E1517">
        <v>155.6</v>
      </c>
      <c r="F1517" s="1">
        <v>45714</v>
      </c>
      <c r="G1517" s="1">
        <v>45715</v>
      </c>
      <c r="H1517" t="s">
        <v>12</v>
      </c>
      <c r="I1517" t="s">
        <v>3</v>
      </c>
      <c r="J1517">
        <v>4</v>
      </c>
      <c r="K1517" t="s">
        <v>4</v>
      </c>
      <c r="L1517" t="s">
        <v>18</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5">
      <c r="A1518" t="s">
        <v>1602</v>
      </c>
      <c r="B1518" t="s">
        <v>31</v>
      </c>
      <c r="C1518">
        <v>5</v>
      </c>
      <c r="D1518">
        <v>35</v>
      </c>
      <c r="E1518">
        <v>175</v>
      </c>
      <c r="F1518" s="1">
        <v>45714</v>
      </c>
      <c r="G1518" s="1">
        <v>45716</v>
      </c>
      <c r="H1518" t="s">
        <v>8</v>
      </c>
      <c r="I1518" t="s">
        <v>3</v>
      </c>
      <c r="J1518">
        <v>4</v>
      </c>
      <c r="K1518" t="s">
        <v>4</v>
      </c>
      <c r="L1518" t="s">
        <v>18</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5">
      <c r="A1519" t="s">
        <v>1603</v>
      </c>
      <c r="B1519" t="s">
        <v>11</v>
      </c>
      <c r="C1519">
        <v>2</v>
      </c>
      <c r="D1519">
        <v>121</v>
      </c>
      <c r="E1519">
        <v>242</v>
      </c>
      <c r="F1519" s="1">
        <v>45714</v>
      </c>
      <c r="G1519" s="1">
        <v>45715</v>
      </c>
      <c r="H1519" t="s">
        <v>12</v>
      </c>
      <c r="I1519" t="s">
        <v>20</v>
      </c>
      <c r="J1519">
        <v>3</v>
      </c>
      <c r="K1519" t="s">
        <v>4</v>
      </c>
      <c r="L1519" t="s">
        <v>18</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5">
      <c r="A1520" t="s">
        <v>1604</v>
      </c>
      <c r="B1520" t="s">
        <v>24</v>
      </c>
      <c r="C1520">
        <v>3</v>
      </c>
      <c r="D1520">
        <v>65.099999999999994</v>
      </c>
      <c r="E1520">
        <v>195.29999999999998</v>
      </c>
      <c r="F1520" s="1">
        <v>45714</v>
      </c>
      <c r="G1520" s="1">
        <v>45718</v>
      </c>
      <c r="H1520" t="s">
        <v>8</v>
      </c>
      <c r="I1520" t="s">
        <v>25</v>
      </c>
      <c r="J1520">
        <v>4</v>
      </c>
      <c r="K1520" t="s">
        <v>4</v>
      </c>
      <c r="L1520" t="s">
        <v>327</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5">
      <c r="A1521" t="s">
        <v>1605</v>
      </c>
      <c r="B1521" t="s">
        <v>7</v>
      </c>
      <c r="C1521">
        <v>21</v>
      </c>
      <c r="D1521">
        <v>63.8</v>
      </c>
      <c r="E1521">
        <v>1339.8</v>
      </c>
      <c r="F1521" s="1">
        <v>45714</v>
      </c>
      <c r="G1521" s="1">
        <v>45716</v>
      </c>
      <c r="H1521" t="s">
        <v>12</v>
      </c>
      <c r="I1521" t="s">
        <v>3</v>
      </c>
      <c r="J1521">
        <v>4</v>
      </c>
      <c r="K1521" t="s">
        <v>4</v>
      </c>
      <c r="L1521" t="s">
        <v>47</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5">
      <c r="A1522" t="s">
        <v>1606</v>
      </c>
      <c r="B1522" t="s">
        <v>27</v>
      </c>
      <c r="C1522">
        <v>1</v>
      </c>
      <c r="D1522">
        <v>77.7</v>
      </c>
      <c r="E1522">
        <v>77.7</v>
      </c>
      <c r="F1522" s="1">
        <v>45714</v>
      </c>
      <c r="G1522" s="1">
        <v>45716</v>
      </c>
      <c r="H1522" t="s">
        <v>8</v>
      </c>
      <c r="I1522" t="s">
        <v>3</v>
      </c>
      <c r="J1522">
        <v>4</v>
      </c>
      <c r="K1522" t="s">
        <v>4</v>
      </c>
      <c r="L1522" t="s">
        <v>47</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5">
      <c r="A1523" t="s">
        <v>1607</v>
      </c>
      <c r="B1523" t="s">
        <v>22</v>
      </c>
      <c r="C1523">
        <v>4</v>
      </c>
      <c r="D1523">
        <v>60.3</v>
      </c>
      <c r="E1523">
        <v>241.2</v>
      </c>
      <c r="F1523" s="1">
        <v>45714</v>
      </c>
      <c r="G1523" s="1">
        <v>45714</v>
      </c>
      <c r="H1523" t="s">
        <v>8</v>
      </c>
      <c r="I1523" t="s">
        <v>3</v>
      </c>
      <c r="J1523">
        <v>5</v>
      </c>
      <c r="K1523" t="s">
        <v>4</v>
      </c>
      <c r="L1523" t="s">
        <v>47</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5">
      <c r="A1524" t="s">
        <v>1608</v>
      </c>
      <c r="B1524" t="s">
        <v>22</v>
      </c>
      <c r="C1524">
        <v>2</v>
      </c>
      <c r="D1524">
        <v>124.1</v>
      </c>
      <c r="E1524">
        <v>248.2</v>
      </c>
      <c r="F1524" s="1">
        <v>45714</v>
      </c>
      <c r="G1524" s="1">
        <v>45717</v>
      </c>
      <c r="H1524" t="s">
        <v>12</v>
      </c>
      <c r="I1524" t="s">
        <v>3</v>
      </c>
      <c r="J1524">
        <v>5</v>
      </c>
      <c r="K1524" t="s">
        <v>4</v>
      </c>
      <c r="L1524" t="s">
        <v>47</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5">
      <c r="A1525" t="s">
        <v>1609</v>
      </c>
      <c r="B1525" t="s">
        <v>113</v>
      </c>
      <c r="C1525">
        <v>7</v>
      </c>
      <c r="D1525">
        <v>66</v>
      </c>
      <c r="E1525">
        <v>462</v>
      </c>
      <c r="F1525" s="1">
        <v>45714</v>
      </c>
      <c r="G1525" s="1">
        <v>45714</v>
      </c>
      <c r="H1525" t="s">
        <v>2</v>
      </c>
      <c r="I1525" t="s">
        <v>36</v>
      </c>
      <c r="J1525">
        <v>4</v>
      </c>
      <c r="K1525" t="s">
        <v>4</v>
      </c>
      <c r="L1525" t="s">
        <v>88</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5">
      <c r="A1526" t="s">
        <v>1610</v>
      </c>
      <c r="B1526" t="s">
        <v>11</v>
      </c>
      <c r="C1526">
        <v>63</v>
      </c>
      <c r="D1526">
        <v>118.2</v>
      </c>
      <c r="E1526">
        <v>7446.6</v>
      </c>
      <c r="F1526" s="1">
        <v>45714</v>
      </c>
      <c r="G1526" s="1">
        <v>45719</v>
      </c>
      <c r="H1526" t="s">
        <v>2</v>
      </c>
      <c r="I1526" t="s">
        <v>3</v>
      </c>
      <c r="J1526">
        <v>4</v>
      </c>
      <c r="K1526" t="s">
        <v>4</v>
      </c>
      <c r="L1526" t="s">
        <v>88</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5">
      <c r="A1527" t="s">
        <v>1611</v>
      </c>
      <c r="B1527" t="s">
        <v>22</v>
      </c>
      <c r="C1527">
        <v>5</v>
      </c>
      <c r="D1527">
        <v>64.3</v>
      </c>
      <c r="E1527">
        <v>321.5</v>
      </c>
      <c r="F1527" s="1">
        <v>45714</v>
      </c>
      <c r="G1527" s="1">
        <v>45715</v>
      </c>
      <c r="H1527" t="s">
        <v>8</v>
      </c>
      <c r="I1527" t="s">
        <v>55</v>
      </c>
      <c r="J1527">
        <v>2</v>
      </c>
      <c r="K1527" t="s">
        <v>4</v>
      </c>
      <c r="L1527" t="s">
        <v>186</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5">
      <c r="A1528" t="s">
        <v>1612</v>
      </c>
      <c r="B1528" t="s">
        <v>7</v>
      </c>
      <c r="C1528">
        <v>2</v>
      </c>
      <c r="D1528">
        <v>54.8</v>
      </c>
      <c r="E1528">
        <v>109.6</v>
      </c>
      <c r="F1528" s="1">
        <v>45714</v>
      </c>
      <c r="G1528" s="1">
        <v>45714</v>
      </c>
      <c r="H1528" t="s">
        <v>8</v>
      </c>
      <c r="I1528" t="s">
        <v>3</v>
      </c>
      <c r="J1528">
        <v>3</v>
      </c>
      <c r="K1528" t="s">
        <v>4</v>
      </c>
      <c r="L1528" t="s">
        <v>186</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5">
      <c r="A1529" t="s">
        <v>1613</v>
      </c>
      <c r="B1529" t="s">
        <v>27</v>
      </c>
      <c r="C1529">
        <v>2</v>
      </c>
      <c r="D1529">
        <v>78.599999999999994</v>
      </c>
      <c r="E1529">
        <v>157.19999999999999</v>
      </c>
      <c r="F1529" s="1">
        <v>45714</v>
      </c>
      <c r="G1529" s="1">
        <v>45715</v>
      </c>
      <c r="H1529" t="s">
        <v>8</v>
      </c>
      <c r="I1529" t="s">
        <v>3</v>
      </c>
      <c r="J1529">
        <v>5</v>
      </c>
      <c r="K1529" t="s">
        <v>4</v>
      </c>
      <c r="L1529" t="s">
        <v>57</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5">
      <c r="A1530" t="s">
        <v>1614</v>
      </c>
      <c r="B1530" t="s">
        <v>11</v>
      </c>
      <c r="C1530">
        <v>5</v>
      </c>
      <c r="D1530">
        <v>158.5</v>
      </c>
      <c r="E1530">
        <v>792.5</v>
      </c>
      <c r="F1530" s="1">
        <v>45714</v>
      </c>
      <c r="G1530" s="1">
        <v>45716</v>
      </c>
      <c r="H1530" t="s">
        <v>2</v>
      </c>
      <c r="I1530" t="s">
        <v>25</v>
      </c>
      <c r="J1530">
        <v>5</v>
      </c>
      <c r="K1530" t="s">
        <v>4</v>
      </c>
      <c r="L1530" t="s">
        <v>57</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5">
      <c r="A1531" t="s">
        <v>1615</v>
      </c>
      <c r="B1531" t="s">
        <v>17</v>
      </c>
      <c r="C1531">
        <v>10</v>
      </c>
      <c r="D1531">
        <v>23.5</v>
      </c>
      <c r="E1531">
        <v>235</v>
      </c>
      <c r="F1531" s="1">
        <v>45714</v>
      </c>
      <c r="G1531" s="1">
        <v>45717</v>
      </c>
      <c r="H1531" t="s">
        <v>8</v>
      </c>
      <c r="I1531" t="s">
        <v>3</v>
      </c>
      <c r="J1531">
        <v>2</v>
      </c>
      <c r="K1531" t="s">
        <v>4</v>
      </c>
      <c r="L1531" t="s">
        <v>59</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5">
      <c r="A1532" t="s">
        <v>1616</v>
      </c>
      <c r="B1532" t="s">
        <v>22</v>
      </c>
      <c r="C1532">
        <v>2</v>
      </c>
      <c r="D1532">
        <v>32.1</v>
      </c>
      <c r="E1532">
        <v>64.2</v>
      </c>
      <c r="F1532" s="1">
        <v>45714</v>
      </c>
      <c r="G1532" s="1">
        <v>45716</v>
      </c>
      <c r="H1532" t="s">
        <v>2</v>
      </c>
      <c r="I1532" t="s">
        <v>36</v>
      </c>
      <c r="J1532">
        <v>4</v>
      </c>
      <c r="K1532" t="s">
        <v>4</v>
      </c>
      <c r="L1532" t="s">
        <v>59</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5">
      <c r="A1533" t="s">
        <v>1617</v>
      </c>
      <c r="B1533" t="s">
        <v>120</v>
      </c>
      <c r="C1533">
        <v>4</v>
      </c>
      <c r="D1533">
        <v>71.900000000000006</v>
      </c>
      <c r="E1533">
        <v>287.60000000000002</v>
      </c>
      <c r="F1533" s="1">
        <v>45714</v>
      </c>
      <c r="G1533" s="1">
        <v>45714</v>
      </c>
      <c r="H1533" t="s">
        <v>8</v>
      </c>
      <c r="I1533" t="s">
        <v>25</v>
      </c>
      <c r="J1533">
        <v>4</v>
      </c>
      <c r="K1533" t="s">
        <v>4</v>
      </c>
      <c r="L1533" t="s">
        <v>95</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5">
      <c r="A1534" t="s">
        <v>1618</v>
      </c>
      <c r="B1534" t="s">
        <v>17</v>
      </c>
      <c r="C1534">
        <v>6</v>
      </c>
      <c r="D1534">
        <v>22.3</v>
      </c>
      <c r="E1534">
        <v>133.80000000000001</v>
      </c>
      <c r="F1534" s="1">
        <v>45714</v>
      </c>
      <c r="G1534" s="1">
        <v>45715</v>
      </c>
      <c r="H1534" t="s">
        <v>2</v>
      </c>
      <c r="I1534" t="s">
        <v>36</v>
      </c>
      <c r="J1534">
        <v>5</v>
      </c>
      <c r="K1534" t="s">
        <v>4</v>
      </c>
      <c r="L1534" t="s">
        <v>67</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5">
      <c r="A1535" t="s">
        <v>1619</v>
      </c>
      <c r="B1535" t="s">
        <v>52</v>
      </c>
      <c r="C1535">
        <v>2</v>
      </c>
      <c r="D1535">
        <v>29.5</v>
      </c>
      <c r="E1535">
        <v>59</v>
      </c>
      <c r="F1535" s="1">
        <v>45714</v>
      </c>
      <c r="G1535" s="1">
        <v>45715</v>
      </c>
      <c r="H1535" t="s">
        <v>12</v>
      </c>
      <c r="I1535" t="s">
        <v>3</v>
      </c>
      <c r="J1535">
        <v>5</v>
      </c>
      <c r="K1535" t="s">
        <v>4</v>
      </c>
      <c r="L1535" t="s">
        <v>67</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5">
      <c r="A1536" t="s">
        <v>1620</v>
      </c>
      <c r="B1536" t="s">
        <v>24</v>
      </c>
      <c r="C1536">
        <v>4</v>
      </c>
      <c r="D1536">
        <v>41.9</v>
      </c>
      <c r="E1536">
        <v>167.6</v>
      </c>
      <c r="F1536" s="1">
        <v>45714</v>
      </c>
      <c r="G1536" s="1">
        <v>45718</v>
      </c>
      <c r="H1536" t="s">
        <v>12</v>
      </c>
      <c r="I1536" t="s">
        <v>3</v>
      </c>
      <c r="J1536">
        <v>3</v>
      </c>
      <c r="K1536" t="s">
        <v>4</v>
      </c>
      <c r="L1536" t="s">
        <v>100</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5">
      <c r="A1537" t="s">
        <v>1621</v>
      </c>
      <c r="B1537" t="s">
        <v>24</v>
      </c>
      <c r="C1537">
        <v>3</v>
      </c>
      <c r="D1537">
        <v>107.8</v>
      </c>
      <c r="E1537">
        <v>323.39999999999998</v>
      </c>
      <c r="F1537" s="1">
        <v>45714</v>
      </c>
      <c r="G1537" s="1">
        <v>45715</v>
      </c>
      <c r="H1537" t="s">
        <v>8</v>
      </c>
      <c r="I1537" t="s">
        <v>20</v>
      </c>
      <c r="J1537">
        <v>5</v>
      </c>
      <c r="K1537" t="s">
        <v>4</v>
      </c>
      <c r="L1537" t="s">
        <v>626</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5">
      <c r="A1538" t="s">
        <v>1622</v>
      </c>
      <c r="B1538" t="s">
        <v>17</v>
      </c>
      <c r="C1538">
        <v>5</v>
      </c>
      <c r="D1538">
        <v>18.100000000000001</v>
      </c>
      <c r="E1538">
        <v>90.5</v>
      </c>
      <c r="F1538" s="1">
        <v>45714</v>
      </c>
      <c r="G1538" s="1">
        <v>45717</v>
      </c>
      <c r="H1538" t="s">
        <v>8</v>
      </c>
      <c r="I1538" t="s">
        <v>3</v>
      </c>
      <c r="J1538">
        <v>5</v>
      </c>
      <c r="K1538" t="s">
        <v>4</v>
      </c>
      <c r="L1538" t="s">
        <v>13</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5">
      <c r="A1539" t="s">
        <v>1623</v>
      </c>
      <c r="B1539" t="s">
        <v>54</v>
      </c>
      <c r="C1539">
        <v>9</v>
      </c>
      <c r="D1539">
        <v>79.8</v>
      </c>
      <c r="E1539">
        <v>718.19999999999993</v>
      </c>
      <c r="F1539" s="1">
        <v>45714</v>
      </c>
      <c r="G1539" s="1">
        <v>45715</v>
      </c>
      <c r="H1539" t="s">
        <v>12</v>
      </c>
      <c r="I1539" t="s">
        <v>20</v>
      </c>
      <c r="J1539">
        <v>3</v>
      </c>
      <c r="K1539" t="s">
        <v>4</v>
      </c>
      <c r="L1539" t="s">
        <v>132</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5">
      <c r="A1540" t="s">
        <v>1624</v>
      </c>
      <c r="B1540" t="s">
        <v>1</v>
      </c>
      <c r="C1540">
        <v>3</v>
      </c>
      <c r="D1540">
        <v>22.3</v>
      </c>
      <c r="E1540">
        <v>66.900000000000006</v>
      </c>
      <c r="F1540" s="1">
        <v>45714</v>
      </c>
      <c r="G1540" s="1">
        <v>45717</v>
      </c>
      <c r="H1540" t="s">
        <v>12</v>
      </c>
      <c r="I1540" t="s">
        <v>3</v>
      </c>
      <c r="J1540">
        <v>5</v>
      </c>
      <c r="K1540" t="s">
        <v>4</v>
      </c>
      <c r="L1540" t="s">
        <v>132</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5">
      <c r="A1541" t="s">
        <v>1625</v>
      </c>
      <c r="B1541" t="s">
        <v>29</v>
      </c>
      <c r="C1541">
        <v>1</v>
      </c>
      <c r="D1541">
        <v>22.9</v>
      </c>
      <c r="E1541">
        <v>22.9</v>
      </c>
      <c r="F1541" s="1">
        <v>45714</v>
      </c>
      <c r="G1541" s="1">
        <v>45714</v>
      </c>
      <c r="H1541" t="s">
        <v>12</v>
      </c>
      <c r="I1541" t="s">
        <v>20</v>
      </c>
      <c r="J1541">
        <v>4</v>
      </c>
      <c r="K1541" t="s">
        <v>4</v>
      </c>
      <c r="L1541" t="s">
        <v>132</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5">
      <c r="A1542" t="s">
        <v>1626</v>
      </c>
      <c r="B1542" t="s">
        <v>1</v>
      </c>
      <c r="C1542">
        <v>3</v>
      </c>
      <c r="D1542">
        <v>16.2</v>
      </c>
      <c r="E1542">
        <v>48.599999999999994</v>
      </c>
      <c r="F1542" s="1">
        <v>45715</v>
      </c>
      <c r="G1542" s="1">
        <v>45715</v>
      </c>
      <c r="H1542" t="s">
        <v>8</v>
      </c>
      <c r="I1542" t="s">
        <v>55</v>
      </c>
      <c r="J1542">
        <v>5</v>
      </c>
      <c r="K1542" t="s">
        <v>4</v>
      </c>
      <c r="L1542" t="s">
        <v>18</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5">
      <c r="A1543" t="s">
        <v>1627</v>
      </c>
      <c r="B1543" t="s">
        <v>39</v>
      </c>
      <c r="C1543">
        <v>4</v>
      </c>
      <c r="D1543">
        <v>59.5</v>
      </c>
      <c r="E1543">
        <v>238</v>
      </c>
      <c r="F1543" s="1">
        <v>45715</v>
      </c>
      <c r="G1543" s="1">
        <v>45716</v>
      </c>
      <c r="H1543" t="s">
        <v>8</v>
      </c>
      <c r="I1543" t="s">
        <v>20</v>
      </c>
      <c r="J1543">
        <v>5</v>
      </c>
      <c r="K1543" t="s">
        <v>4</v>
      </c>
      <c r="L1543" t="s">
        <v>18</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5">
      <c r="A1544" t="s">
        <v>1628</v>
      </c>
      <c r="B1544" t="s">
        <v>131</v>
      </c>
      <c r="C1544">
        <v>5</v>
      </c>
      <c r="D1544">
        <v>26.2</v>
      </c>
      <c r="E1544">
        <v>131</v>
      </c>
      <c r="F1544" s="1">
        <v>45715</v>
      </c>
      <c r="G1544" s="1">
        <v>45718</v>
      </c>
      <c r="H1544" t="s">
        <v>8</v>
      </c>
      <c r="I1544" t="s">
        <v>36</v>
      </c>
      <c r="J1544">
        <v>2</v>
      </c>
      <c r="K1544" t="s">
        <v>4</v>
      </c>
      <c r="L1544" t="s">
        <v>18</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5">
      <c r="A1545" t="s">
        <v>1629</v>
      </c>
      <c r="B1545" t="s">
        <v>15</v>
      </c>
      <c r="C1545">
        <v>1</v>
      </c>
      <c r="D1545">
        <v>44.2</v>
      </c>
      <c r="E1545">
        <v>44.2</v>
      </c>
      <c r="F1545" s="1">
        <v>45715</v>
      </c>
      <c r="G1545" s="1">
        <v>45718</v>
      </c>
      <c r="H1545" t="s">
        <v>12</v>
      </c>
      <c r="I1545" t="s">
        <v>20</v>
      </c>
      <c r="J1545">
        <v>4</v>
      </c>
      <c r="K1545" t="s">
        <v>4</v>
      </c>
      <c r="L1545" t="s">
        <v>18</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5">
      <c r="A1546" t="s">
        <v>1630</v>
      </c>
      <c r="B1546" t="s">
        <v>31</v>
      </c>
      <c r="C1546">
        <v>2</v>
      </c>
      <c r="D1546">
        <v>59.2</v>
      </c>
      <c r="E1546">
        <v>118.4</v>
      </c>
      <c r="F1546" s="1">
        <v>45715</v>
      </c>
      <c r="G1546" s="1">
        <v>45715</v>
      </c>
      <c r="H1546" t="s">
        <v>12</v>
      </c>
      <c r="I1546" t="s">
        <v>20</v>
      </c>
      <c r="J1546">
        <v>2</v>
      </c>
      <c r="K1546" t="s">
        <v>4</v>
      </c>
      <c r="L1546" t="s">
        <v>18</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5">
      <c r="A1547" t="s">
        <v>1631</v>
      </c>
      <c r="B1547" t="s">
        <v>108</v>
      </c>
      <c r="C1547">
        <v>4</v>
      </c>
      <c r="D1547">
        <v>41.5</v>
      </c>
      <c r="E1547">
        <v>166</v>
      </c>
      <c r="F1547" s="1">
        <v>45715</v>
      </c>
      <c r="G1547" s="1">
        <v>45717</v>
      </c>
      <c r="H1547" t="s">
        <v>12</v>
      </c>
      <c r="I1547" t="s">
        <v>3</v>
      </c>
      <c r="J1547">
        <v>4</v>
      </c>
      <c r="K1547" t="s">
        <v>4</v>
      </c>
      <c r="L1547" t="s">
        <v>83</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5">
      <c r="A1548" t="s">
        <v>1632</v>
      </c>
      <c r="B1548" t="s">
        <v>24</v>
      </c>
      <c r="C1548">
        <v>12</v>
      </c>
      <c r="D1548">
        <v>67.099999999999994</v>
      </c>
      <c r="E1548">
        <v>805.19999999999993</v>
      </c>
      <c r="F1548" s="1">
        <v>45715</v>
      </c>
      <c r="G1548" s="1">
        <v>45729</v>
      </c>
      <c r="H1548" t="s">
        <v>12</v>
      </c>
      <c r="I1548" t="s">
        <v>3</v>
      </c>
      <c r="J1548">
        <v>5</v>
      </c>
      <c r="K1548" t="s">
        <v>4</v>
      </c>
      <c r="L1548" t="s">
        <v>143</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5">
      <c r="A1549" t="s">
        <v>1633</v>
      </c>
      <c r="B1549" t="s">
        <v>29</v>
      </c>
      <c r="C1549">
        <v>2</v>
      </c>
      <c r="D1549">
        <v>28.7</v>
      </c>
      <c r="E1549">
        <v>57.4</v>
      </c>
      <c r="F1549" s="1">
        <v>45715</v>
      </c>
      <c r="G1549" s="1">
        <v>45719</v>
      </c>
      <c r="H1549" t="s">
        <v>12</v>
      </c>
      <c r="I1549" t="s">
        <v>20</v>
      </c>
      <c r="J1549">
        <v>4</v>
      </c>
      <c r="K1549" t="s">
        <v>4</v>
      </c>
      <c r="L1549" t="s">
        <v>40</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5">
      <c r="A1550" t="s">
        <v>1634</v>
      </c>
      <c r="B1550" t="s">
        <v>11</v>
      </c>
      <c r="C1550">
        <v>4</v>
      </c>
      <c r="D1550">
        <v>132.1</v>
      </c>
      <c r="E1550">
        <v>528.4</v>
      </c>
      <c r="F1550" s="1">
        <v>45715</v>
      </c>
      <c r="G1550" s="1">
        <v>45716</v>
      </c>
      <c r="H1550" t="s">
        <v>12</v>
      </c>
      <c r="I1550" t="s">
        <v>3</v>
      </c>
      <c r="J1550">
        <v>3</v>
      </c>
      <c r="K1550" t="s">
        <v>4</v>
      </c>
      <c r="L1550" t="s">
        <v>40</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5">
      <c r="A1551" t="s">
        <v>1635</v>
      </c>
      <c r="B1551" t="s">
        <v>131</v>
      </c>
      <c r="C1551">
        <v>2</v>
      </c>
      <c r="D1551">
        <v>47</v>
      </c>
      <c r="E1551">
        <v>94</v>
      </c>
      <c r="F1551" s="1">
        <v>45715</v>
      </c>
      <c r="G1551" s="1">
        <v>45717</v>
      </c>
      <c r="H1551" t="s">
        <v>8</v>
      </c>
      <c r="I1551" t="s">
        <v>55</v>
      </c>
      <c r="J1551">
        <v>4</v>
      </c>
      <c r="K1551" t="s">
        <v>4</v>
      </c>
      <c r="L1551" t="s">
        <v>47</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5">
      <c r="A1552" t="s">
        <v>1636</v>
      </c>
      <c r="B1552" t="s">
        <v>29</v>
      </c>
      <c r="C1552">
        <v>2</v>
      </c>
      <c r="D1552">
        <v>41.6</v>
      </c>
      <c r="E1552">
        <v>83.2</v>
      </c>
      <c r="F1552" s="1">
        <v>45715</v>
      </c>
      <c r="G1552" s="1">
        <v>45719</v>
      </c>
      <c r="H1552" t="s">
        <v>8</v>
      </c>
      <c r="I1552" t="s">
        <v>20</v>
      </c>
      <c r="J1552">
        <v>5</v>
      </c>
      <c r="K1552" t="s">
        <v>4</v>
      </c>
      <c r="L1552" t="s">
        <v>47</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5">
      <c r="A1553" t="s">
        <v>1637</v>
      </c>
      <c r="B1553" t="s">
        <v>29</v>
      </c>
      <c r="C1553">
        <v>38</v>
      </c>
      <c r="D1553">
        <v>17.3</v>
      </c>
      <c r="E1553">
        <v>657.4</v>
      </c>
      <c r="F1553" s="1">
        <v>45715</v>
      </c>
      <c r="G1553" s="1">
        <v>45717</v>
      </c>
      <c r="H1553" t="s">
        <v>8</v>
      </c>
      <c r="I1553" t="s">
        <v>25</v>
      </c>
      <c r="J1553">
        <v>5</v>
      </c>
      <c r="K1553" t="s">
        <v>4</v>
      </c>
      <c r="L1553" t="s">
        <v>47</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5">
      <c r="A1554" t="s">
        <v>1638</v>
      </c>
      <c r="B1554" t="s">
        <v>61</v>
      </c>
      <c r="C1554">
        <v>3</v>
      </c>
      <c r="D1554">
        <v>41.8</v>
      </c>
      <c r="E1554">
        <v>125.39999999999999</v>
      </c>
      <c r="F1554" s="1">
        <v>45715</v>
      </c>
      <c r="G1554" s="1">
        <v>45718</v>
      </c>
      <c r="H1554" t="s">
        <v>8</v>
      </c>
      <c r="I1554" t="s">
        <v>3</v>
      </c>
      <c r="J1554">
        <v>5</v>
      </c>
      <c r="K1554" t="s">
        <v>4</v>
      </c>
      <c r="L1554" t="s">
        <v>47</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5">
      <c r="A1555" t="s">
        <v>1639</v>
      </c>
      <c r="B1555" t="s">
        <v>39</v>
      </c>
      <c r="C1555">
        <v>1</v>
      </c>
      <c r="D1555">
        <v>24</v>
      </c>
      <c r="E1555">
        <v>24</v>
      </c>
      <c r="F1555" s="1">
        <v>45715</v>
      </c>
      <c r="G1555" s="1">
        <v>45716</v>
      </c>
      <c r="H1555" t="s">
        <v>12</v>
      </c>
      <c r="I1555" t="s">
        <v>3</v>
      </c>
      <c r="J1555">
        <v>4</v>
      </c>
      <c r="K1555" t="s">
        <v>4</v>
      </c>
      <c r="L1555" t="s">
        <v>88</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5">
      <c r="A1556" t="s">
        <v>1640</v>
      </c>
      <c r="B1556" t="s">
        <v>66</v>
      </c>
      <c r="C1556">
        <v>9</v>
      </c>
      <c r="D1556">
        <v>18.5</v>
      </c>
      <c r="E1556">
        <v>166.5</v>
      </c>
      <c r="F1556" s="1">
        <v>45715</v>
      </c>
      <c r="G1556" s="1">
        <v>45717</v>
      </c>
      <c r="H1556" t="s">
        <v>12</v>
      </c>
      <c r="I1556" t="s">
        <v>3</v>
      </c>
      <c r="J1556">
        <v>4</v>
      </c>
      <c r="K1556" t="s">
        <v>4</v>
      </c>
      <c r="L1556" t="s">
        <v>57</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5">
      <c r="A1557" t="s">
        <v>1641</v>
      </c>
      <c r="B1557" t="s">
        <v>15</v>
      </c>
      <c r="C1557">
        <v>12</v>
      </c>
      <c r="D1557">
        <v>66.7</v>
      </c>
      <c r="E1557">
        <v>800.40000000000009</v>
      </c>
      <c r="F1557" s="1">
        <v>45715</v>
      </c>
      <c r="G1557" s="1">
        <v>45718</v>
      </c>
      <c r="H1557" t="s">
        <v>2</v>
      </c>
      <c r="I1557" t="s">
        <v>3</v>
      </c>
      <c r="J1557">
        <v>5</v>
      </c>
      <c r="K1557" t="s">
        <v>4</v>
      </c>
      <c r="L1557" t="s">
        <v>62</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5">
      <c r="A1558" t="s">
        <v>1642</v>
      </c>
      <c r="B1558" t="s">
        <v>7</v>
      </c>
      <c r="C1558">
        <v>4</v>
      </c>
      <c r="D1558">
        <v>33.1</v>
      </c>
      <c r="E1558">
        <v>132.4</v>
      </c>
      <c r="F1558" s="1">
        <v>45715</v>
      </c>
      <c r="G1558" s="1">
        <v>45720</v>
      </c>
      <c r="H1558" t="s">
        <v>8</v>
      </c>
      <c r="I1558" t="s">
        <v>36</v>
      </c>
      <c r="J1558">
        <v>4</v>
      </c>
      <c r="K1558" t="s">
        <v>4</v>
      </c>
      <c r="L1558" t="s">
        <v>62</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5">
      <c r="A1559" t="s">
        <v>1643</v>
      </c>
      <c r="B1559" t="s">
        <v>156</v>
      </c>
      <c r="C1559">
        <v>9</v>
      </c>
      <c r="D1559">
        <v>42.1</v>
      </c>
      <c r="E1559">
        <v>378.90000000000003</v>
      </c>
      <c r="F1559" s="1">
        <v>45715</v>
      </c>
      <c r="G1559" s="1">
        <v>45726</v>
      </c>
      <c r="H1559" t="s">
        <v>8</v>
      </c>
      <c r="I1559" t="s">
        <v>20</v>
      </c>
      <c r="J1559">
        <v>4</v>
      </c>
      <c r="K1559" t="s">
        <v>4</v>
      </c>
      <c r="L1559" t="s">
        <v>93</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5">
      <c r="A1560" t="s">
        <v>1644</v>
      </c>
      <c r="B1560" t="s">
        <v>131</v>
      </c>
      <c r="C1560">
        <v>7</v>
      </c>
      <c r="D1560">
        <v>58.7</v>
      </c>
      <c r="E1560">
        <v>410.90000000000003</v>
      </c>
      <c r="F1560" s="1">
        <v>45715</v>
      </c>
      <c r="G1560" s="1">
        <v>45715</v>
      </c>
      <c r="H1560" t="s">
        <v>74</v>
      </c>
      <c r="I1560" t="s">
        <v>36</v>
      </c>
      <c r="J1560">
        <v>4</v>
      </c>
      <c r="K1560" t="s">
        <v>4</v>
      </c>
      <c r="L1560" t="s">
        <v>277</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5">
      <c r="A1561" t="s">
        <v>1645</v>
      </c>
      <c r="B1561" t="s">
        <v>24</v>
      </c>
      <c r="C1561">
        <v>4</v>
      </c>
      <c r="D1561">
        <v>54</v>
      </c>
      <c r="E1561">
        <v>216</v>
      </c>
      <c r="F1561" s="1">
        <v>45715</v>
      </c>
      <c r="G1561" s="1">
        <v>45717</v>
      </c>
      <c r="H1561" t="s">
        <v>12</v>
      </c>
      <c r="I1561" t="s">
        <v>20</v>
      </c>
      <c r="J1561">
        <v>4</v>
      </c>
      <c r="K1561" t="s">
        <v>4</v>
      </c>
      <c r="L1561" t="s">
        <v>9</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5">
      <c r="A1562" t="s">
        <v>1646</v>
      </c>
      <c r="B1562" t="s">
        <v>29</v>
      </c>
      <c r="C1562">
        <v>1</v>
      </c>
      <c r="D1562">
        <v>52.1</v>
      </c>
      <c r="E1562">
        <v>52.1</v>
      </c>
      <c r="F1562" s="1">
        <v>45715</v>
      </c>
      <c r="G1562" s="1">
        <v>45716</v>
      </c>
      <c r="H1562" t="s">
        <v>12</v>
      </c>
      <c r="I1562" t="s">
        <v>25</v>
      </c>
      <c r="J1562">
        <v>5</v>
      </c>
      <c r="K1562" t="s">
        <v>4</v>
      </c>
      <c r="L1562" t="s">
        <v>13</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5">
      <c r="A1563" t="s">
        <v>1647</v>
      </c>
      <c r="B1563" t="s">
        <v>156</v>
      </c>
      <c r="C1563">
        <v>2</v>
      </c>
      <c r="D1563">
        <v>27</v>
      </c>
      <c r="E1563">
        <v>54</v>
      </c>
      <c r="F1563" s="1">
        <v>45715</v>
      </c>
      <c r="G1563" s="1">
        <v>45718</v>
      </c>
      <c r="H1563" t="s">
        <v>74</v>
      </c>
      <c r="I1563" t="s">
        <v>25</v>
      </c>
      <c r="J1563">
        <v>4</v>
      </c>
      <c r="K1563" t="s">
        <v>4</v>
      </c>
      <c r="L1563" t="s">
        <v>132</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5">
      <c r="A1564" t="s">
        <v>1648</v>
      </c>
      <c r="B1564" t="s">
        <v>54</v>
      </c>
      <c r="C1564">
        <v>10</v>
      </c>
      <c r="D1564">
        <v>31</v>
      </c>
      <c r="E1564">
        <v>310</v>
      </c>
      <c r="F1564" s="1">
        <v>45716</v>
      </c>
      <c r="G1564" s="1">
        <v>45717</v>
      </c>
      <c r="H1564" t="s">
        <v>12</v>
      </c>
      <c r="I1564" t="s">
        <v>36</v>
      </c>
      <c r="J1564">
        <v>5</v>
      </c>
      <c r="K1564" t="s">
        <v>4</v>
      </c>
      <c r="L1564" t="s">
        <v>132</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5">
      <c r="A1565" t="s">
        <v>1649</v>
      </c>
      <c r="B1565" t="s">
        <v>39</v>
      </c>
      <c r="C1565">
        <v>2</v>
      </c>
      <c r="D1565">
        <v>46.7</v>
      </c>
      <c r="E1565">
        <v>93.4</v>
      </c>
      <c r="F1565" s="1">
        <v>45716</v>
      </c>
      <c r="G1565" s="1">
        <v>45716</v>
      </c>
      <c r="H1565" t="s">
        <v>12</v>
      </c>
      <c r="I1565" t="s">
        <v>3</v>
      </c>
      <c r="J1565">
        <v>4</v>
      </c>
      <c r="K1565" t="s">
        <v>4</v>
      </c>
      <c r="L1565" t="s">
        <v>319</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5">
      <c r="A1566" t="s">
        <v>1650</v>
      </c>
      <c r="B1566" t="s">
        <v>24</v>
      </c>
      <c r="C1566">
        <v>1</v>
      </c>
      <c r="D1566">
        <v>144.69999999999999</v>
      </c>
      <c r="E1566">
        <v>144.69999999999999</v>
      </c>
      <c r="F1566" s="1">
        <v>45716</v>
      </c>
      <c r="G1566" s="1">
        <v>45719</v>
      </c>
      <c r="H1566" t="s">
        <v>8</v>
      </c>
      <c r="I1566" t="s">
        <v>3</v>
      </c>
      <c r="J1566">
        <v>5</v>
      </c>
      <c r="K1566" t="s">
        <v>4</v>
      </c>
      <c r="L1566" t="s">
        <v>18</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5">
      <c r="A1567" t="s">
        <v>1651</v>
      </c>
      <c r="B1567" t="s">
        <v>11</v>
      </c>
      <c r="C1567">
        <v>9</v>
      </c>
      <c r="D1567">
        <v>90.9</v>
      </c>
      <c r="E1567">
        <v>818.1</v>
      </c>
      <c r="F1567" s="1">
        <v>45716</v>
      </c>
      <c r="G1567" s="1">
        <v>45717</v>
      </c>
      <c r="H1567" t="s">
        <v>8</v>
      </c>
      <c r="I1567" t="s">
        <v>3</v>
      </c>
      <c r="J1567">
        <v>5</v>
      </c>
      <c r="K1567" t="s">
        <v>4</v>
      </c>
      <c r="L1567" t="s">
        <v>18</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5">
      <c r="A1568" t="s">
        <v>1652</v>
      </c>
      <c r="B1568" t="s">
        <v>7</v>
      </c>
      <c r="C1568">
        <v>2</v>
      </c>
      <c r="D1568">
        <v>75.8</v>
      </c>
      <c r="E1568">
        <v>151.6</v>
      </c>
      <c r="F1568" s="1">
        <v>45716</v>
      </c>
      <c r="G1568" s="1">
        <v>45717</v>
      </c>
      <c r="H1568" t="s">
        <v>12</v>
      </c>
      <c r="I1568" t="s">
        <v>25</v>
      </c>
      <c r="J1568">
        <v>3</v>
      </c>
      <c r="K1568" t="s">
        <v>4</v>
      </c>
      <c r="L1568" t="s">
        <v>18</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5">
      <c r="A1569" t="s">
        <v>1653</v>
      </c>
      <c r="B1569" t="s">
        <v>27</v>
      </c>
      <c r="C1569">
        <v>5</v>
      </c>
      <c r="D1569">
        <v>57.9</v>
      </c>
      <c r="E1569">
        <v>289.5</v>
      </c>
      <c r="F1569" s="1">
        <v>45716</v>
      </c>
      <c r="G1569" s="1">
        <v>45718</v>
      </c>
      <c r="H1569" t="s">
        <v>8</v>
      </c>
      <c r="I1569" t="s">
        <v>25</v>
      </c>
      <c r="J1569">
        <v>5</v>
      </c>
      <c r="K1569" t="s">
        <v>4</v>
      </c>
      <c r="L1569" t="s">
        <v>18</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5">
      <c r="A1570" t="s">
        <v>1654</v>
      </c>
      <c r="B1570" t="s">
        <v>29</v>
      </c>
      <c r="C1570">
        <v>5</v>
      </c>
      <c r="D1570">
        <v>44.8</v>
      </c>
      <c r="E1570">
        <v>224</v>
      </c>
      <c r="F1570" s="1">
        <v>45716</v>
      </c>
      <c r="G1570" s="1">
        <v>45717</v>
      </c>
      <c r="H1570" t="s">
        <v>12</v>
      </c>
      <c r="I1570" t="s">
        <v>36</v>
      </c>
      <c r="J1570">
        <v>5</v>
      </c>
      <c r="K1570" t="s">
        <v>4</v>
      </c>
      <c r="L1570" t="s">
        <v>18</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5">
      <c r="A1571" t="s">
        <v>1655</v>
      </c>
      <c r="B1571" t="s">
        <v>31</v>
      </c>
      <c r="C1571">
        <v>3</v>
      </c>
      <c r="D1571">
        <v>44.2</v>
      </c>
      <c r="E1571">
        <v>132.60000000000002</v>
      </c>
      <c r="F1571" s="1">
        <v>45716</v>
      </c>
      <c r="G1571" s="1">
        <v>45720</v>
      </c>
      <c r="H1571" t="s">
        <v>8</v>
      </c>
      <c r="I1571" t="s">
        <v>25</v>
      </c>
      <c r="J1571">
        <v>5</v>
      </c>
      <c r="K1571" t="s">
        <v>4</v>
      </c>
      <c r="L1571" t="s">
        <v>18</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5">
      <c r="A1572" t="s">
        <v>1656</v>
      </c>
      <c r="B1572" t="s">
        <v>22</v>
      </c>
      <c r="C1572">
        <v>5</v>
      </c>
      <c r="D1572">
        <v>53.5</v>
      </c>
      <c r="E1572">
        <v>267.5</v>
      </c>
      <c r="F1572" s="1">
        <v>45716</v>
      </c>
      <c r="G1572" s="1">
        <v>45718</v>
      </c>
      <c r="H1572" t="s">
        <v>8</v>
      </c>
      <c r="I1572" t="s">
        <v>3</v>
      </c>
      <c r="J1572">
        <v>4</v>
      </c>
      <c r="K1572" t="s">
        <v>4</v>
      </c>
      <c r="L1572" t="s">
        <v>349</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5">
      <c r="A1573" t="s">
        <v>1657</v>
      </c>
      <c r="B1573" t="s">
        <v>24</v>
      </c>
      <c r="C1573">
        <v>2</v>
      </c>
      <c r="D1573">
        <v>72.2</v>
      </c>
      <c r="E1573">
        <v>144.4</v>
      </c>
      <c r="F1573" s="1">
        <v>45716</v>
      </c>
      <c r="G1573" s="1">
        <v>45717</v>
      </c>
      <c r="H1573" t="s">
        <v>8</v>
      </c>
      <c r="I1573" t="s">
        <v>3</v>
      </c>
      <c r="J1573">
        <v>5</v>
      </c>
      <c r="K1573" t="s">
        <v>4</v>
      </c>
      <c r="L1573" t="s">
        <v>173</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5">
      <c r="A1574" t="s">
        <v>1658</v>
      </c>
      <c r="B1574" t="s">
        <v>24</v>
      </c>
      <c r="C1574">
        <v>4</v>
      </c>
      <c r="D1574">
        <v>62.4</v>
      </c>
      <c r="E1574">
        <v>249.6</v>
      </c>
      <c r="F1574" s="1">
        <v>45716</v>
      </c>
      <c r="G1574" s="1">
        <v>45719</v>
      </c>
      <c r="H1574" t="s">
        <v>12</v>
      </c>
      <c r="I1574" t="s">
        <v>3</v>
      </c>
      <c r="J1574">
        <v>3</v>
      </c>
      <c r="K1574" t="s">
        <v>4</v>
      </c>
      <c r="L1574" t="s">
        <v>143</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5">
      <c r="A1575" t="s">
        <v>1659</v>
      </c>
      <c r="B1575" t="s">
        <v>39</v>
      </c>
      <c r="C1575">
        <v>5</v>
      </c>
      <c r="D1575">
        <v>24.7</v>
      </c>
      <c r="E1575">
        <v>123.5</v>
      </c>
      <c r="F1575" s="1">
        <v>45716</v>
      </c>
      <c r="G1575" s="1">
        <v>45717</v>
      </c>
      <c r="H1575" t="s">
        <v>12</v>
      </c>
      <c r="I1575" t="s">
        <v>3</v>
      </c>
      <c r="J1575">
        <v>4</v>
      </c>
      <c r="K1575" t="s">
        <v>4</v>
      </c>
      <c r="L1575" t="s">
        <v>40</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5">
      <c r="A1576" t="s">
        <v>1660</v>
      </c>
      <c r="B1576" t="s">
        <v>7</v>
      </c>
      <c r="C1576">
        <v>5</v>
      </c>
      <c r="D1576">
        <v>61.7</v>
      </c>
      <c r="E1576">
        <v>308.5</v>
      </c>
      <c r="F1576" s="1">
        <v>45716</v>
      </c>
      <c r="G1576" s="1">
        <v>45718</v>
      </c>
      <c r="H1576" t="s">
        <v>12</v>
      </c>
      <c r="I1576" t="s">
        <v>25</v>
      </c>
      <c r="J1576">
        <v>4</v>
      </c>
      <c r="K1576" t="s">
        <v>4</v>
      </c>
      <c r="L1576" t="s">
        <v>47</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5">
      <c r="A1577" t="s">
        <v>1661</v>
      </c>
      <c r="B1577" t="s">
        <v>29</v>
      </c>
      <c r="C1577">
        <v>5</v>
      </c>
      <c r="D1577">
        <v>18.2</v>
      </c>
      <c r="E1577">
        <v>91</v>
      </c>
      <c r="F1577" s="1">
        <v>45716</v>
      </c>
      <c r="G1577" s="1">
        <v>45718</v>
      </c>
      <c r="H1577" t="s">
        <v>12</v>
      </c>
      <c r="I1577" t="s">
        <v>36</v>
      </c>
      <c r="J1577">
        <v>4</v>
      </c>
      <c r="K1577" t="s">
        <v>4</v>
      </c>
      <c r="L1577" t="s">
        <v>47</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5">
      <c r="A1578" t="s">
        <v>1662</v>
      </c>
      <c r="B1578" t="s">
        <v>39</v>
      </c>
      <c r="C1578">
        <v>4</v>
      </c>
      <c r="D1578">
        <v>37.200000000000003</v>
      </c>
      <c r="E1578">
        <v>148.80000000000001</v>
      </c>
      <c r="F1578" s="1">
        <v>45716</v>
      </c>
      <c r="G1578" s="1">
        <v>45722</v>
      </c>
      <c r="H1578" t="s">
        <v>12</v>
      </c>
      <c r="I1578" t="s">
        <v>3</v>
      </c>
      <c r="J1578">
        <v>4</v>
      </c>
      <c r="K1578" t="s">
        <v>4</v>
      </c>
      <c r="L1578" t="s">
        <v>47</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5">
      <c r="A1579" t="s">
        <v>1663</v>
      </c>
      <c r="B1579" t="s">
        <v>31</v>
      </c>
      <c r="C1579">
        <v>3</v>
      </c>
      <c r="D1579">
        <v>53.5</v>
      </c>
      <c r="E1579">
        <v>160.5</v>
      </c>
      <c r="F1579" s="1">
        <v>45716</v>
      </c>
      <c r="G1579" s="1">
        <v>45718</v>
      </c>
      <c r="H1579" t="s">
        <v>12</v>
      </c>
      <c r="I1579" t="s">
        <v>20</v>
      </c>
      <c r="J1579">
        <v>5</v>
      </c>
      <c r="K1579" t="s">
        <v>4</v>
      </c>
      <c r="L1579" t="s">
        <v>57</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5">
      <c r="A1580" t="s">
        <v>1664</v>
      </c>
      <c r="B1580" t="s">
        <v>29</v>
      </c>
      <c r="C1580">
        <v>3</v>
      </c>
      <c r="D1580">
        <v>43.6</v>
      </c>
      <c r="E1580">
        <v>130.80000000000001</v>
      </c>
      <c r="F1580" s="1">
        <v>45716</v>
      </c>
      <c r="G1580" s="1">
        <v>45716</v>
      </c>
      <c r="H1580" t="s">
        <v>12</v>
      </c>
      <c r="I1580" t="s">
        <v>3</v>
      </c>
      <c r="J1580">
        <v>4</v>
      </c>
      <c r="K1580" t="s">
        <v>4</v>
      </c>
      <c r="L1580" t="s">
        <v>57</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5">
      <c r="A1581" t="s">
        <v>1665</v>
      </c>
      <c r="B1581" t="s">
        <v>7</v>
      </c>
      <c r="C1581">
        <v>10</v>
      </c>
      <c r="D1581">
        <v>135</v>
      </c>
      <c r="E1581">
        <v>1350</v>
      </c>
      <c r="F1581" s="1">
        <v>45716</v>
      </c>
      <c r="G1581" s="1">
        <v>45718</v>
      </c>
      <c r="H1581" t="s">
        <v>12</v>
      </c>
      <c r="I1581" t="s">
        <v>3</v>
      </c>
      <c r="J1581">
        <v>5</v>
      </c>
      <c r="K1581" t="s">
        <v>4</v>
      </c>
      <c r="L1581" t="s">
        <v>57</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5">
      <c r="A1582" t="s">
        <v>1666</v>
      </c>
      <c r="B1582" t="s">
        <v>29</v>
      </c>
      <c r="C1582">
        <v>5</v>
      </c>
      <c r="D1582">
        <v>38.5</v>
      </c>
      <c r="E1582">
        <v>192.5</v>
      </c>
      <c r="F1582" s="1">
        <v>45716</v>
      </c>
      <c r="G1582" s="1">
        <v>45716</v>
      </c>
      <c r="H1582" t="s">
        <v>8</v>
      </c>
      <c r="I1582" t="s">
        <v>55</v>
      </c>
      <c r="J1582">
        <v>5</v>
      </c>
      <c r="K1582" t="s">
        <v>4</v>
      </c>
      <c r="L1582" t="s">
        <v>59</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5">
      <c r="A1583" t="s">
        <v>1667</v>
      </c>
      <c r="B1583" t="s">
        <v>31</v>
      </c>
      <c r="C1583">
        <v>2</v>
      </c>
      <c r="D1583">
        <v>24</v>
      </c>
      <c r="E1583">
        <v>48</v>
      </c>
      <c r="F1583" s="1">
        <v>45716</v>
      </c>
      <c r="G1583" s="1">
        <v>45721</v>
      </c>
      <c r="H1583" t="s">
        <v>12</v>
      </c>
      <c r="I1583" t="s">
        <v>3</v>
      </c>
      <c r="J1583">
        <v>4</v>
      </c>
      <c r="K1583" t="s">
        <v>4</v>
      </c>
      <c r="L1583" t="s">
        <v>62</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5">
      <c r="A1584" t="s">
        <v>1668</v>
      </c>
      <c r="B1584" t="s">
        <v>17</v>
      </c>
      <c r="C1584">
        <v>3</v>
      </c>
      <c r="D1584">
        <v>28.2</v>
      </c>
      <c r="E1584">
        <v>84.6</v>
      </c>
      <c r="F1584" s="1">
        <v>45716</v>
      </c>
      <c r="G1584" s="1">
        <v>45718</v>
      </c>
      <c r="H1584" t="s">
        <v>8</v>
      </c>
      <c r="I1584" t="s">
        <v>3</v>
      </c>
      <c r="J1584">
        <v>1</v>
      </c>
      <c r="K1584" t="s">
        <v>4</v>
      </c>
      <c r="L1584" t="s">
        <v>93</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5">
      <c r="A1585" t="s">
        <v>1669</v>
      </c>
      <c r="B1585" t="s">
        <v>27</v>
      </c>
      <c r="C1585">
        <v>3</v>
      </c>
      <c r="D1585">
        <v>37.4</v>
      </c>
      <c r="E1585">
        <v>112.19999999999999</v>
      </c>
      <c r="F1585" s="1">
        <v>45716</v>
      </c>
      <c r="G1585" s="1">
        <v>45717</v>
      </c>
      <c r="H1585" t="s">
        <v>12</v>
      </c>
      <c r="I1585" t="s">
        <v>36</v>
      </c>
      <c r="J1585">
        <v>4</v>
      </c>
      <c r="K1585" t="s">
        <v>4</v>
      </c>
      <c r="L1585" t="s">
        <v>9</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5">
      <c r="A1586" t="s">
        <v>1670</v>
      </c>
      <c r="B1586" t="s">
        <v>24</v>
      </c>
      <c r="C1586">
        <v>3</v>
      </c>
      <c r="D1586">
        <v>53.5</v>
      </c>
      <c r="E1586">
        <v>160.5</v>
      </c>
      <c r="F1586" s="1">
        <v>45716</v>
      </c>
      <c r="G1586" s="1">
        <v>45719</v>
      </c>
      <c r="H1586" t="s">
        <v>2</v>
      </c>
      <c r="I1586" t="s">
        <v>55</v>
      </c>
      <c r="J1586">
        <v>2</v>
      </c>
      <c r="K1586" t="s">
        <v>4</v>
      </c>
      <c r="L1586" t="s">
        <v>9</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5">
      <c r="A1587" t="s">
        <v>1671</v>
      </c>
      <c r="B1587" t="s">
        <v>52</v>
      </c>
      <c r="C1587">
        <v>5</v>
      </c>
      <c r="D1587">
        <v>36.200000000000003</v>
      </c>
      <c r="E1587">
        <v>181</v>
      </c>
      <c r="F1587" s="1">
        <v>45716</v>
      </c>
      <c r="G1587" s="1">
        <v>45717</v>
      </c>
      <c r="H1587" t="s">
        <v>8</v>
      </c>
      <c r="I1587" t="s">
        <v>20</v>
      </c>
      <c r="J1587">
        <v>5</v>
      </c>
      <c r="K1587" t="s">
        <v>4</v>
      </c>
      <c r="L1587" t="s">
        <v>316</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5">
      <c r="A1588" t="s">
        <v>1672</v>
      </c>
      <c r="B1588" t="s">
        <v>1</v>
      </c>
      <c r="C1588">
        <v>8</v>
      </c>
      <c r="D1588">
        <v>31.9</v>
      </c>
      <c r="E1588">
        <v>255.2</v>
      </c>
      <c r="F1588" s="1">
        <v>45716</v>
      </c>
      <c r="G1588" s="1">
        <v>45717</v>
      </c>
      <c r="H1588" t="s">
        <v>12</v>
      </c>
      <c r="I1588" t="s">
        <v>55</v>
      </c>
      <c r="J1588">
        <v>4</v>
      </c>
      <c r="K1588" t="s">
        <v>4</v>
      </c>
      <c r="L1588" t="s">
        <v>18</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5">
      <c r="A1589" t="s">
        <v>1673</v>
      </c>
      <c r="B1589" t="s">
        <v>29</v>
      </c>
      <c r="C1589">
        <v>3</v>
      </c>
      <c r="D1589">
        <v>21.3</v>
      </c>
      <c r="E1589">
        <v>63.900000000000006</v>
      </c>
      <c r="F1589" s="1">
        <v>45716</v>
      </c>
      <c r="G1589" s="1">
        <v>45717</v>
      </c>
      <c r="H1589" t="s">
        <v>8</v>
      </c>
      <c r="I1589" t="s">
        <v>3</v>
      </c>
      <c r="J1589">
        <v>5</v>
      </c>
      <c r="K1589" t="s">
        <v>4</v>
      </c>
      <c r="L1589" t="s">
        <v>18</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5">
      <c r="A1590" t="s">
        <v>1674</v>
      </c>
      <c r="B1590" t="s">
        <v>29</v>
      </c>
      <c r="C1590">
        <v>1</v>
      </c>
      <c r="D1590">
        <v>36.299999999999997</v>
      </c>
      <c r="E1590">
        <v>36.299999999999997</v>
      </c>
      <c r="F1590" s="1">
        <v>45716</v>
      </c>
      <c r="G1590" s="1">
        <v>45718</v>
      </c>
      <c r="H1590" t="s">
        <v>74</v>
      </c>
      <c r="I1590" t="s">
        <v>55</v>
      </c>
      <c r="J1590">
        <v>4</v>
      </c>
      <c r="K1590" t="s">
        <v>4</v>
      </c>
      <c r="L1590" t="s">
        <v>18</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5">
      <c r="A1591" t="s">
        <v>1675</v>
      </c>
      <c r="B1591" t="s">
        <v>24</v>
      </c>
      <c r="C1591">
        <v>3</v>
      </c>
      <c r="D1591">
        <v>110.5</v>
      </c>
      <c r="E1591">
        <v>331.5</v>
      </c>
      <c r="F1591" s="1">
        <v>45716</v>
      </c>
      <c r="G1591" s="1">
        <v>45717</v>
      </c>
      <c r="H1591" t="s">
        <v>12</v>
      </c>
      <c r="I1591" t="s">
        <v>3</v>
      </c>
      <c r="J1591">
        <v>1</v>
      </c>
      <c r="K1591" t="s">
        <v>4</v>
      </c>
      <c r="L1591" t="s">
        <v>18</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5">
      <c r="A1592" t="s">
        <v>1676</v>
      </c>
      <c r="B1592" t="s">
        <v>39</v>
      </c>
      <c r="C1592">
        <v>7</v>
      </c>
      <c r="D1592">
        <v>32.6</v>
      </c>
      <c r="E1592">
        <v>228.20000000000002</v>
      </c>
      <c r="F1592" s="1">
        <v>45716</v>
      </c>
      <c r="G1592" s="1">
        <v>45718</v>
      </c>
      <c r="H1592" t="s">
        <v>12</v>
      </c>
      <c r="I1592" t="s">
        <v>3</v>
      </c>
      <c r="J1592">
        <v>3</v>
      </c>
      <c r="K1592" t="s">
        <v>4</v>
      </c>
      <c r="L1592" t="s">
        <v>18</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5">
      <c r="A1593" t="s">
        <v>1677</v>
      </c>
      <c r="B1593" t="s">
        <v>22</v>
      </c>
      <c r="C1593">
        <v>3</v>
      </c>
      <c r="D1593">
        <v>55.6</v>
      </c>
      <c r="E1593">
        <v>166.8</v>
      </c>
      <c r="F1593" s="1">
        <v>45717</v>
      </c>
      <c r="G1593" s="1">
        <v>45730</v>
      </c>
      <c r="H1593" t="s">
        <v>12</v>
      </c>
      <c r="I1593" t="s">
        <v>3</v>
      </c>
      <c r="J1593">
        <v>4</v>
      </c>
      <c r="K1593" t="s">
        <v>4</v>
      </c>
      <c r="L1593" t="s">
        <v>18</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5">
      <c r="A1594" t="s">
        <v>1678</v>
      </c>
      <c r="B1594" t="s">
        <v>7</v>
      </c>
      <c r="C1594">
        <v>4</v>
      </c>
      <c r="D1594">
        <v>38</v>
      </c>
      <c r="E1594">
        <v>152</v>
      </c>
      <c r="F1594" s="1">
        <v>45717</v>
      </c>
      <c r="G1594" s="1">
        <v>45718</v>
      </c>
      <c r="H1594" t="s">
        <v>12</v>
      </c>
      <c r="I1594" t="s">
        <v>36</v>
      </c>
      <c r="J1594">
        <v>5</v>
      </c>
      <c r="K1594" t="s">
        <v>4</v>
      </c>
      <c r="L1594" t="s">
        <v>37</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5">
      <c r="A1595" t="s">
        <v>1679</v>
      </c>
      <c r="B1595" t="s">
        <v>39</v>
      </c>
      <c r="C1595">
        <v>2</v>
      </c>
      <c r="D1595">
        <v>51.8</v>
      </c>
      <c r="E1595">
        <v>103.6</v>
      </c>
      <c r="F1595" s="1">
        <v>45717</v>
      </c>
      <c r="G1595" s="1">
        <v>45723</v>
      </c>
      <c r="H1595" t="s">
        <v>8</v>
      </c>
      <c r="I1595" t="s">
        <v>20</v>
      </c>
      <c r="J1595">
        <v>2</v>
      </c>
      <c r="K1595" t="s">
        <v>4</v>
      </c>
      <c r="L1595" t="s">
        <v>40</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5">
      <c r="A1596" t="s">
        <v>1680</v>
      </c>
      <c r="B1596" t="s">
        <v>52</v>
      </c>
      <c r="C1596">
        <v>8</v>
      </c>
      <c r="D1596">
        <v>28.7</v>
      </c>
      <c r="E1596">
        <v>229.6</v>
      </c>
      <c r="F1596" s="1">
        <v>45717</v>
      </c>
      <c r="G1596" s="1">
        <v>45722</v>
      </c>
      <c r="H1596" t="s">
        <v>12</v>
      </c>
      <c r="I1596" t="s">
        <v>3</v>
      </c>
      <c r="J1596">
        <v>4</v>
      </c>
      <c r="K1596" t="s">
        <v>4</v>
      </c>
      <c r="L1596" t="s">
        <v>40</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5">
      <c r="A1597" t="s">
        <v>1681</v>
      </c>
      <c r="B1597" t="s">
        <v>24</v>
      </c>
      <c r="C1597">
        <v>12</v>
      </c>
      <c r="D1597">
        <v>52.2</v>
      </c>
      <c r="E1597">
        <v>626.40000000000009</v>
      </c>
      <c r="F1597" s="1">
        <v>45717</v>
      </c>
      <c r="G1597" s="1">
        <v>45717</v>
      </c>
      <c r="H1597" t="s">
        <v>8</v>
      </c>
      <c r="I1597" t="s">
        <v>3</v>
      </c>
      <c r="J1597">
        <v>3</v>
      </c>
      <c r="K1597" t="s">
        <v>4</v>
      </c>
      <c r="L1597" t="s">
        <v>40</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5">
      <c r="A1598" t="s">
        <v>1682</v>
      </c>
      <c r="B1598" t="s">
        <v>7</v>
      </c>
      <c r="C1598">
        <v>2</v>
      </c>
      <c r="D1598">
        <v>68.2</v>
      </c>
      <c r="E1598">
        <v>136.4</v>
      </c>
      <c r="F1598" s="1">
        <v>45717</v>
      </c>
      <c r="G1598" s="1">
        <v>45718</v>
      </c>
      <c r="H1598" t="s">
        <v>2</v>
      </c>
      <c r="I1598" t="s">
        <v>25</v>
      </c>
      <c r="J1598">
        <v>4</v>
      </c>
      <c r="K1598" t="s">
        <v>4</v>
      </c>
      <c r="L1598" t="s">
        <v>44</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5">
      <c r="A1599" t="s">
        <v>1683</v>
      </c>
      <c r="B1599" t="s">
        <v>1</v>
      </c>
      <c r="C1599">
        <v>3</v>
      </c>
      <c r="D1599">
        <v>34</v>
      </c>
      <c r="E1599">
        <v>102</v>
      </c>
      <c r="F1599" s="1">
        <v>45717</v>
      </c>
      <c r="G1599" s="1">
        <v>45721</v>
      </c>
      <c r="H1599" t="s">
        <v>12</v>
      </c>
      <c r="I1599" t="s">
        <v>3</v>
      </c>
      <c r="J1599">
        <v>4</v>
      </c>
      <c r="K1599" t="s">
        <v>4</v>
      </c>
      <c r="L1599" t="s">
        <v>47</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5">
      <c r="A1600" t="s">
        <v>1684</v>
      </c>
      <c r="B1600" t="s">
        <v>29</v>
      </c>
      <c r="C1600">
        <v>3</v>
      </c>
      <c r="D1600">
        <v>19.100000000000001</v>
      </c>
      <c r="E1600">
        <v>57.300000000000004</v>
      </c>
      <c r="F1600" s="1">
        <v>45717</v>
      </c>
      <c r="G1600" s="1">
        <v>45718</v>
      </c>
      <c r="H1600" t="s">
        <v>12</v>
      </c>
      <c r="I1600" t="s">
        <v>55</v>
      </c>
      <c r="J1600">
        <v>4</v>
      </c>
      <c r="K1600" t="s">
        <v>4</v>
      </c>
      <c r="L1600" t="s">
        <v>47</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5">
      <c r="A1601" t="s">
        <v>1685</v>
      </c>
      <c r="B1601" t="s">
        <v>22</v>
      </c>
      <c r="C1601">
        <v>8</v>
      </c>
      <c r="D1601">
        <v>34</v>
      </c>
      <c r="E1601">
        <v>272</v>
      </c>
      <c r="F1601" s="1">
        <v>45717</v>
      </c>
      <c r="G1601" s="1">
        <v>45725</v>
      </c>
      <c r="H1601" t="s">
        <v>12</v>
      </c>
      <c r="I1601" t="s">
        <v>55</v>
      </c>
      <c r="J1601">
        <v>4</v>
      </c>
      <c r="K1601" t="s">
        <v>4</v>
      </c>
      <c r="L1601" t="s">
        <v>47</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5">
      <c r="A1602" t="s">
        <v>1686</v>
      </c>
      <c r="B1602" t="s">
        <v>54</v>
      </c>
      <c r="C1602">
        <v>2</v>
      </c>
      <c r="D1602">
        <v>109.1</v>
      </c>
      <c r="E1602">
        <v>218.2</v>
      </c>
      <c r="F1602" s="1">
        <v>45717</v>
      </c>
      <c r="G1602" s="1">
        <v>45719</v>
      </c>
      <c r="H1602" t="s">
        <v>8</v>
      </c>
      <c r="I1602" t="s">
        <v>3</v>
      </c>
      <c r="J1602">
        <v>5</v>
      </c>
      <c r="K1602" t="s">
        <v>4</v>
      </c>
      <c r="L1602" t="s">
        <v>47</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5">
      <c r="A1603" t="s">
        <v>1687</v>
      </c>
      <c r="B1603" t="s">
        <v>131</v>
      </c>
      <c r="C1603">
        <v>2</v>
      </c>
      <c r="D1603">
        <v>64.8</v>
      </c>
      <c r="E1603">
        <v>129.6</v>
      </c>
      <c r="F1603" s="1">
        <v>45717</v>
      </c>
      <c r="G1603" s="1">
        <v>45719</v>
      </c>
      <c r="H1603" t="s">
        <v>8</v>
      </c>
      <c r="I1603" t="s">
        <v>3</v>
      </c>
      <c r="J1603">
        <v>5</v>
      </c>
      <c r="K1603" t="s">
        <v>4</v>
      </c>
      <c r="L1603" t="s">
        <v>47</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5">
      <c r="A1604" t="s">
        <v>1688</v>
      </c>
      <c r="B1604" t="s">
        <v>39</v>
      </c>
      <c r="C1604">
        <v>2</v>
      </c>
      <c r="D1604">
        <v>21.1</v>
      </c>
      <c r="E1604">
        <v>42.2</v>
      </c>
      <c r="F1604" s="1">
        <v>45717</v>
      </c>
      <c r="G1604" s="1">
        <v>45717</v>
      </c>
      <c r="H1604" t="s">
        <v>12</v>
      </c>
      <c r="I1604" t="s">
        <v>20</v>
      </c>
      <c r="J1604">
        <v>4</v>
      </c>
      <c r="K1604" t="s">
        <v>4</v>
      </c>
      <c r="L1604" t="s">
        <v>62</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5">
      <c r="A1605" t="s">
        <v>1689</v>
      </c>
      <c r="B1605" t="s">
        <v>1</v>
      </c>
      <c r="C1605">
        <v>8</v>
      </c>
      <c r="D1605">
        <v>21.3</v>
      </c>
      <c r="E1605">
        <v>170.4</v>
      </c>
      <c r="F1605" s="1">
        <v>45717</v>
      </c>
      <c r="G1605" s="1">
        <v>45719</v>
      </c>
      <c r="H1605" t="s">
        <v>8</v>
      </c>
      <c r="I1605" t="s">
        <v>36</v>
      </c>
      <c r="J1605">
        <v>3</v>
      </c>
      <c r="K1605" t="s">
        <v>4</v>
      </c>
      <c r="L1605" t="s">
        <v>93</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5">
      <c r="A1606" t="s">
        <v>1690</v>
      </c>
      <c r="B1606" t="s">
        <v>31</v>
      </c>
      <c r="C1606">
        <v>3</v>
      </c>
      <c r="D1606">
        <v>24.3</v>
      </c>
      <c r="E1606">
        <v>72.900000000000006</v>
      </c>
      <c r="F1606" s="1">
        <v>45717</v>
      </c>
      <c r="G1606" s="1">
        <v>45718</v>
      </c>
      <c r="H1606" t="s">
        <v>8</v>
      </c>
      <c r="I1606" t="s">
        <v>20</v>
      </c>
      <c r="J1606">
        <v>4</v>
      </c>
      <c r="K1606" t="s">
        <v>4</v>
      </c>
      <c r="L1606" t="s">
        <v>95</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5">
      <c r="A1607" t="s">
        <v>1691</v>
      </c>
      <c r="B1607" t="s">
        <v>29</v>
      </c>
      <c r="C1607">
        <v>1</v>
      </c>
      <c r="D1607">
        <v>43.3</v>
      </c>
      <c r="E1607">
        <v>43.3</v>
      </c>
      <c r="F1607" s="1">
        <v>45717</v>
      </c>
      <c r="G1607" s="1">
        <v>45721</v>
      </c>
      <c r="H1607" t="s">
        <v>8</v>
      </c>
      <c r="I1607" t="s">
        <v>20</v>
      </c>
      <c r="J1607">
        <v>3</v>
      </c>
      <c r="K1607" t="s">
        <v>4</v>
      </c>
      <c r="L1607" t="s">
        <v>67</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5">
      <c r="A1608" t="s">
        <v>1692</v>
      </c>
      <c r="B1608" t="s">
        <v>31</v>
      </c>
      <c r="C1608">
        <v>3</v>
      </c>
      <c r="D1608">
        <v>41</v>
      </c>
      <c r="E1608">
        <v>123</v>
      </c>
      <c r="F1608" s="1">
        <v>45717</v>
      </c>
      <c r="G1608" s="1">
        <v>45718</v>
      </c>
      <c r="H1608" t="s">
        <v>12</v>
      </c>
      <c r="I1608" t="s">
        <v>36</v>
      </c>
      <c r="J1608">
        <v>2</v>
      </c>
      <c r="K1608" t="s">
        <v>4</v>
      </c>
      <c r="L1608" t="s">
        <v>100</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5">
      <c r="A1609" t="s">
        <v>1693</v>
      </c>
      <c r="B1609" t="s">
        <v>113</v>
      </c>
      <c r="C1609">
        <v>3</v>
      </c>
      <c r="D1609">
        <v>54.1</v>
      </c>
      <c r="E1609">
        <v>162.30000000000001</v>
      </c>
      <c r="F1609" s="1">
        <v>45717</v>
      </c>
      <c r="G1609" s="1">
        <v>45719</v>
      </c>
      <c r="H1609" t="s">
        <v>12</v>
      </c>
      <c r="I1609" t="s">
        <v>55</v>
      </c>
      <c r="J1609">
        <v>4</v>
      </c>
      <c r="K1609" t="s">
        <v>4</v>
      </c>
      <c r="L1609" t="s">
        <v>100</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5">
      <c r="A1610" t="s">
        <v>1694</v>
      </c>
      <c r="B1610" t="s">
        <v>52</v>
      </c>
      <c r="C1610">
        <v>2</v>
      </c>
      <c r="D1610">
        <v>39</v>
      </c>
      <c r="E1610">
        <v>78</v>
      </c>
      <c r="F1610" s="1">
        <v>45717</v>
      </c>
      <c r="G1610" s="1">
        <v>45718</v>
      </c>
      <c r="H1610" t="s">
        <v>8</v>
      </c>
      <c r="I1610" t="s">
        <v>20</v>
      </c>
      <c r="J1610">
        <v>5</v>
      </c>
      <c r="K1610" t="s">
        <v>4</v>
      </c>
      <c r="L1610" t="s">
        <v>9</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5">
      <c r="A1611" t="s">
        <v>1695</v>
      </c>
      <c r="B1611" t="s">
        <v>29</v>
      </c>
      <c r="C1611">
        <v>2</v>
      </c>
      <c r="D1611">
        <v>40.299999999999997</v>
      </c>
      <c r="E1611">
        <v>80.599999999999994</v>
      </c>
      <c r="F1611" s="1">
        <v>45717</v>
      </c>
      <c r="G1611" s="1">
        <v>45719</v>
      </c>
      <c r="H1611" t="s">
        <v>8</v>
      </c>
      <c r="I1611" t="s">
        <v>36</v>
      </c>
      <c r="J1611">
        <v>4</v>
      </c>
      <c r="K1611" t="s">
        <v>4</v>
      </c>
      <c r="L1611" t="s">
        <v>193</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5">
      <c r="A1612" t="s">
        <v>1696</v>
      </c>
      <c r="B1612" t="s">
        <v>29</v>
      </c>
      <c r="C1612">
        <v>3</v>
      </c>
      <c r="D1612">
        <v>24.1</v>
      </c>
      <c r="E1612">
        <v>72.300000000000011</v>
      </c>
      <c r="F1612" s="1">
        <v>45717</v>
      </c>
      <c r="G1612" s="1">
        <v>45718</v>
      </c>
      <c r="H1612" t="s">
        <v>8</v>
      </c>
      <c r="I1612" t="s">
        <v>3</v>
      </c>
      <c r="J1612">
        <v>5</v>
      </c>
      <c r="K1612" t="s">
        <v>4</v>
      </c>
      <c r="L1612" t="s">
        <v>319</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5">
      <c r="A1613" t="s">
        <v>1697</v>
      </c>
      <c r="B1613" t="s">
        <v>24</v>
      </c>
      <c r="C1613">
        <v>5</v>
      </c>
      <c r="D1613">
        <v>52.3</v>
      </c>
      <c r="E1613">
        <v>261.5</v>
      </c>
      <c r="F1613" s="1">
        <v>45717</v>
      </c>
      <c r="G1613" s="1">
        <v>45718</v>
      </c>
      <c r="H1613" t="s">
        <v>8</v>
      </c>
      <c r="I1613" t="s">
        <v>25</v>
      </c>
      <c r="J1613">
        <v>4</v>
      </c>
      <c r="K1613" t="s">
        <v>4</v>
      </c>
      <c r="L1613" t="s">
        <v>18</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5">
      <c r="A1614" t="s">
        <v>1698</v>
      </c>
      <c r="B1614" t="s">
        <v>54</v>
      </c>
      <c r="C1614">
        <v>4</v>
      </c>
      <c r="D1614">
        <v>68.8</v>
      </c>
      <c r="E1614">
        <v>275.2</v>
      </c>
      <c r="F1614" s="1">
        <v>45717</v>
      </c>
      <c r="G1614" s="1">
        <v>45721</v>
      </c>
      <c r="H1614" t="s">
        <v>12</v>
      </c>
      <c r="I1614" t="s">
        <v>55</v>
      </c>
      <c r="J1614">
        <v>5</v>
      </c>
      <c r="K1614" t="s">
        <v>4</v>
      </c>
      <c r="L1614" t="s">
        <v>18</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5">
      <c r="A1615" t="s">
        <v>1699</v>
      </c>
      <c r="B1615" t="s">
        <v>11</v>
      </c>
      <c r="C1615">
        <v>2</v>
      </c>
      <c r="D1615">
        <v>128.80000000000001</v>
      </c>
      <c r="E1615">
        <v>257.60000000000002</v>
      </c>
      <c r="F1615" s="1">
        <v>45718</v>
      </c>
      <c r="G1615" s="1">
        <v>45721</v>
      </c>
      <c r="H1615" t="s">
        <v>12</v>
      </c>
      <c r="I1615" t="s">
        <v>20</v>
      </c>
      <c r="J1615">
        <v>3</v>
      </c>
      <c r="K1615" t="s">
        <v>4</v>
      </c>
      <c r="L1615" t="s">
        <v>18</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5">
      <c r="A1616" t="s">
        <v>1700</v>
      </c>
      <c r="B1616" t="s">
        <v>108</v>
      </c>
      <c r="C1616">
        <v>5</v>
      </c>
      <c r="D1616">
        <v>48.2</v>
      </c>
      <c r="E1616">
        <v>241</v>
      </c>
      <c r="F1616" s="1">
        <v>45718</v>
      </c>
      <c r="G1616" s="1">
        <v>45720</v>
      </c>
      <c r="H1616" t="s">
        <v>12</v>
      </c>
      <c r="I1616" t="s">
        <v>36</v>
      </c>
      <c r="J1616">
        <v>4</v>
      </c>
      <c r="K1616" t="s">
        <v>4</v>
      </c>
      <c r="L1616" t="s">
        <v>18</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5">
      <c r="A1617" t="s">
        <v>1701</v>
      </c>
      <c r="B1617" t="s">
        <v>39</v>
      </c>
      <c r="C1617">
        <v>1</v>
      </c>
      <c r="D1617">
        <v>39.700000000000003</v>
      </c>
      <c r="E1617">
        <v>39.700000000000003</v>
      </c>
      <c r="F1617" s="1">
        <v>45718</v>
      </c>
      <c r="G1617" s="1">
        <v>45720</v>
      </c>
      <c r="H1617" t="s">
        <v>12</v>
      </c>
      <c r="I1617" t="s">
        <v>3</v>
      </c>
      <c r="J1617">
        <v>3</v>
      </c>
      <c r="K1617" t="s">
        <v>4</v>
      </c>
      <c r="L1617" t="s">
        <v>18</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5">
      <c r="A1618" t="s">
        <v>1702</v>
      </c>
      <c r="B1618" t="s">
        <v>31</v>
      </c>
      <c r="C1618">
        <v>1</v>
      </c>
      <c r="D1618">
        <v>59.7</v>
      </c>
      <c r="E1618">
        <v>59.7</v>
      </c>
      <c r="F1618" s="1">
        <v>45718</v>
      </c>
      <c r="G1618" s="1">
        <v>45721</v>
      </c>
      <c r="H1618" t="s">
        <v>12</v>
      </c>
      <c r="I1618" t="s">
        <v>55</v>
      </c>
      <c r="J1618">
        <v>4</v>
      </c>
      <c r="K1618" t="s">
        <v>4</v>
      </c>
      <c r="L1618" t="s">
        <v>18</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5">
      <c r="A1619" t="s">
        <v>1703</v>
      </c>
      <c r="B1619" t="s">
        <v>24</v>
      </c>
      <c r="C1619">
        <v>1</v>
      </c>
      <c r="D1619">
        <v>48.3</v>
      </c>
      <c r="E1619">
        <v>48.3</v>
      </c>
      <c r="F1619" s="1">
        <v>45718</v>
      </c>
      <c r="G1619" s="1">
        <v>45732</v>
      </c>
      <c r="H1619" t="s">
        <v>74</v>
      </c>
      <c r="I1619" t="s">
        <v>3</v>
      </c>
      <c r="J1619">
        <v>5</v>
      </c>
      <c r="K1619" t="s">
        <v>4</v>
      </c>
      <c r="L1619" t="s">
        <v>18</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5">
      <c r="A1620" t="s">
        <v>1704</v>
      </c>
      <c r="B1620" t="s">
        <v>29</v>
      </c>
      <c r="C1620">
        <v>3</v>
      </c>
      <c r="D1620">
        <v>45.5</v>
      </c>
      <c r="E1620">
        <v>136.5</v>
      </c>
      <c r="F1620" s="1">
        <v>45718</v>
      </c>
      <c r="G1620" s="1">
        <v>45720</v>
      </c>
      <c r="H1620" t="s">
        <v>8</v>
      </c>
      <c r="I1620" t="s">
        <v>25</v>
      </c>
      <c r="J1620">
        <v>3</v>
      </c>
      <c r="K1620" t="s">
        <v>4</v>
      </c>
      <c r="L1620" t="s">
        <v>18</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5">
      <c r="A1621" t="s">
        <v>1705</v>
      </c>
      <c r="B1621" t="s">
        <v>31</v>
      </c>
      <c r="C1621">
        <v>27</v>
      </c>
      <c r="D1621">
        <v>51</v>
      </c>
      <c r="E1621">
        <v>1377</v>
      </c>
      <c r="F1621" s="1">
        <v>45718</v>
      </c>
      <c r="G1621" s="1">
        <v>45718</v>
      </c>
      <c r="H1621" t="s">
        <v>12</v>
      </c>
      <c r="I1621" t="s">
        <v>25</v>
      </c>
      <c r="J1621">
        <v>4</v>
      </c>
      <c r="K1621" t="s">
        <v>4</v>
      </c>
      <c r="L1621" t="s">
        <v>18</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5">
      <c r="A1622" t="s">
        <v>1706</v>
      </c>
      <c r="B1622" t="s">
        <v>17</v>
      </c>
      <c r="C1622">
        <v>6</v>
      </c>
      <c r="D1622">
        <v>20.399999999999999</v>
      </c>
      <c r="E1622">
        <v>122.39999999999999</v>
      </c>
      <c r="F1622" s="1">
        <v>45718</v>
      </c>
      <c r="G1622" s="1">
        <v>45719</v>
      </c>
      <c r="H1622" t="s">
        <v>8</v>
      </c>
      <c r="I1622" t="s">
        <v>25</v>
      </c>
      <c r="J1622">
        <v>4</v>
      </c>
      <c r="K1622" t="s">
        <v>4</v>
      </c>
      <c r="L1622" t="s">
        <v>18</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5">
      <c r="A1623" t="s">
        <v>1707</v>
      </c>
      <c r="B1623" t="s">
        <v>39</v>
      </c>
      <c r="C1623">
        <v>2</v>
      </c>
      <c r="D1623">
        <v>30.4</v>
      </c>
      <c r="E1623">
        <v>60.8</v>
      </c>
      <c r="F1623" s="1">
        <v>45718</v>
      </c>
      <c r="G1623" s="1">
        <v>45720</v>
      </c>
      <c r="H1623" t="s">
        <v>8</v>
      </c>
      <c r="I1623" t="s">
        <v>25</v>
      </c>
      <c r="J1623">
        <v>4</v>
      </c>
      <c r="K1623" t="s">
        <v>4</v>
      </c>
      <c r="L1623" t="s">
        <v>18</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5">
      <c r="A1624" t="s">
        <v>1708</v>
      </c>
      <c r="B1624" t="s">
        <v>27</v>
      </c>
      <c r="C1624">
        <v>2</v>
      </c>
      <c r="D1624">
        <v>71.5</v>
      </c>
      <c r="E1624">
        <v>143</v>
      </c>
      <c r="F1624" s="1">
        <v>45718</v>
      </c>
      <c r="G1624" s="1">
        <v>45722</v>
      </c>
      <c r="H1624" t="s">
        <v>12</v>
      </c>
      <c r="I1624" t="s">
        <v>3</v>
      </c>
      <c r="J1624">
        <v>4</v>
      </c>
      <c r="K1624" t="s">
        <v>4</v>
      </c>
      <c r="L1624" t="s">
        <v>18</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5">
      <c r="A1625" t="s">
        <v>1709</v>
      </c>
      <c r="B1625" t="s">
        <v>29</v>
      </c>
      <c r="C1625">
        <v>6</v>
      </c>
      <c r="D1625">
        <v>18</v>
      </c>
      <c r="E1625">
        <v>108</v>
      </c>
      <c r="F1625" s="1">
        <v>45718</v>
      </c>
      <c r="G1625" s="1">
        <v>45719</v>
      </c>
      <c r="H1625" t="s">
        <v>74</v>
      </c>
      <c r="I1625" t="s">
        <v>20</v>
      </c>
      <c r="J1625">
        <v>5</v>
      </c>
      <c r="K1625" t="s">
        <v>4</v>
      </c>
      <c r="L1625" t="s">
        <v>40</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5">
      <c r="A1626" t="s">
        <v>1710</v>
      </c>
      <c r="B1626" t="s">
        <v>108</v>
      </c>
      <c r="C1626">
        <v>11</v>
      </c>
      <c r="D1626">
        <v>45.6</v>
      </c>
      <c r="E1626">
        <v>501.6</v>
      </c>
      <c r="F1626" s="1">
        <v>45718</v>
      </c>
      <c r="G1626" s="1">
        <v>45719</v>
      </c>
      <c r="H1626" t="s">
        <v>74</v>
      </c>
      <c r="I1626" t="s">
        <v>20</v>
      </c>
      <c r="J1626">
        <v>3</v>
      </c>
      <c r="K1626" t="s">
        <v>4</v>
      </c>
      <c r="L1626" t="s">
        <v>44</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5">
      <c r="A1627" t="s">
        <v>1711</v>
      </c>
      <c r="B1627" t="s">
        <v>31</v>
      </c>
      <c r="C1627">
        <v>1</v>
      </c>
      <c r="D1627">
        <v>31.8</v>
      </c>
      <c r="E1627">
        <v>31.8</v>
      </c>
      <c r="F1627" s="1">
        <v>45718</v>
      </c>
      <c r="G1627" s="1">
        <v>45722</v>
      </c>
      <c r="H1627" t="s">
        <v>12</v>
      </c>
      <c r="I1627" t="s">
        <v>3</v>
      </c>
      <c r="J1627">
        <v>5</v>
      </c>
      <c r="K1627" t="s">
        <v>4</v>
      </c>
      <c r="L1627" t="s">
        <v>44</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5">
      <c r="A1628" t="s">
        <v>1712</v>
      </c>
      <c r="B1628" t="s">
        <v>29</v>
      </c>
      <c r="C1628">
        <v>5</v>
      </c>
      <c r="D1628">
        <v>19.899999999999999</v>
      </c>
      <c r="E1628">
        <v>99.5</v>
      </c>
      <c r="F1628" s="1">
        <v>45718</v>
      </c>
      <c r="G1628" s="1">
        <v>45719</v>
      </c>
      <c r="H1628" t="s">
        <v>12</v>
      </c>
      <c r="I1628" t="s">
        <v>20</v>
      </c>
      <c r="J1628">
        <v>4</v>
      </c>
      <c r="K1628" t="s">
        <v>4</v>
      </c>
      <c r="L1628" t="s">
        <v>44</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5">
      <c r="A1629" t="s">
        <v>1713</v>
      </c>
      <c r="B1629" t="s">
        <v>54</v>
      </c>
      <c r="C1629">
        <v>9</v>
      </c>
      <c r="D1629">
        <v>52.1</v>
      </c>
      <c r="E1629">
        <v>468.90000000000003</v>
      </c>
      <c r="F1629" s="1">
        <v>45718</v>
      </c>
      <c r="G1629" s="1">
        <v>45720</v>
      </c>
      <c r="H1629" t="s">
        <v>8</v>
      </c>
      <c r="I1629" t="s">
        <v>3</v>
      </c>
      <c r="J1629">
        <v>4</v>
      </c>
      <c r="K1629" t="s">
        <v>4</v>
      </c>
      <c r="L1629" t="s">
        <v>47</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5">
      <c r="A1630" t="s">
        <v>1714</v>
      </c>
      <c r="B1630" t="s">
        <v>7</v>
      </c>
      <c r="C1630">
        <v>7</v>
      </c>
      <c r="D1630">
        <v>45.9</v>
      </c>
      <c r="E1630">
        <v>321.3</v>
      </c>
      <c r="F1630" s="1">
        <v>45718</v>
      </c>
      <c r="G1630" s="1">
        <v>45719</v>
      </c>
      <c r="H1630" t="s">
        <v>8</v>
      </c>
      <c r="I1630" t="s">
        <v>3</v>
      </c>
      <c r="J1630">
        <v>3</v>
      </c>
      <c r="K1630" t="s">
        <v>4</v>
      </c>
      <c r="L1630" t="s">
        <v>47</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5">
      <c r="A1631" t="s">
        <v>1715</v>
      </c>
      <c r="B1631" t="s">
        <v>7</v>
      </c>
      <c r="C1631">
        <v>10</v>
      </c>
      <c r="D1631">
        <v>115.9</v>
      </c>
      <c r="E1631">
        <v>1159</v>
      </c>
      <c r="F1631" s="1">
        <v>45718</v>
      </c>
      <c r="G1631" s="1">
        <v>45721</v>
      </c>
      <c r="H1631" t="s">
        <v>12</v>
      </c>
      <c r="I1631" t="s">
        <v>20</v>
      </c>
      <c r="J1631">
        <v>4</v>
      </c>
      <c r="K1631" t="s">
        <v>4</v>
      </c>
      <c r="L1631" t="s">
        <v>47</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5">
      <c r="A1632" t="s">
        <v>1716</v>
      </c>
      <c r="B1632" t="s">
        <v>24</v>
      </c>
      <c r="C1632">
        <v>9</v>
      </c>
      <c r="D1632">
        <v>86</v>
      </c>
      <c r="E1632">
        <v>774</v>
      </c>
      <c r="F1632" s="1">
        <v>45718</v>
      </c>
      <c r="G1632" s="1">
        <v>45723</v>
      </c>
      <c r="H1632" t="s">
        <v>12</v>
      </c>
      <c r="I1632" t="s">
        <v>3</v>
      </c>
      <c r="J1632">
        <v>3</v>
      </c>
      <c r="K1632" t="s">
        <v>4</v>
      </c>
      <c r="L1632" t="s">
        <v>47</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5">
      <c r="A1633" t="s">
        <v>1717</v>
      </c>
      <c r="B1633" t="s">
        <v>27</v>
      </c>
      <c r="C1633">
        <v>7</v>
      </c>
      <c r="D1633">
        <v>73.599999999999994</v>
      </c>
      <c r="E1633">
        <v>515.19999999999993</v>
      </c>
      <c r="F1633" s="1">
        <v>45718</v>
      </c>
      <c r="G1633" s="1">
        <v>45720</v>
      </c>
      <c r="H1633" t="s">
        <v>12</v>
      </c>
      <c r="I1633" t="s">
        <v>3</v>
      </c>
      <c r="J1633">
        <v>4</v>
      </c>
      <c r="K1633" t="s">
        <v>4</v>
      </c>
      <c r="L1633" t="s">
        <v>88</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5">
      <c r="A1634" t="s">
        <v>1718</v>
      </c>
      <c r="B1634" t="s">
        <v>39</v>
      </c>
      <c r="C1634">
        <v>3</v>
      </c>
      <c r="D1634">
        <v>26.7</v>
      </c>
      <c r="E1634">
        <v>80.099999999999994</v>
      </c>
      <c r="F1634" s="1">
        <v>45718</v>
      </c>
      <c r="G1634" s="1">
        <v>45722</v>
      </c>
      <c r="H1634" t="s">
        <v>12</v>
      </c>
      <c r="I1634" t="s">
        <v>3</v>
      </c>
      <c r="J1634">
        <v>4</v>
      </c>
      <c r="K1634" t="s">
        <v>4</v>
      </c>
      <c r="L1634" t="s">
        <v>62</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5">
      <c r="A1635" t="s">
        <v>1719</v>
      </c>
      <c r="B1635" t="s">
        <v>29</v>
      </c>
      <c r="C1635">
        <v>7</v>
      </c>
      <c r="D1635">
        <v>46.6</v>
      </c>
      <c r="E1635">
        <v>326.2</v>
      </c>
      <c r="F1635" s="1">
        <v>45718</v>
      </c>
      <c r="G1635" s="1">
        <v>45720</v>
      </c>
      <c r="H1635" t="s">
        <v>2</v>
      </c>
      <c r="I1635" t="s">
        <v>36</v>
      </c>
      <c r="J1635">
        <v>4</v>
      </c>
      <c r="K1635" t="s">
        <v>4</v>
      </c>
      <c r="L1635" t="s">
        <v>62</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5">
      <c r="A1636" t="s">
        <v>1720</v>
      </c>
      <c r="B1636" t="s">
        <v>15</v>
      </c>
      <c r="C1636">
        <v>3</v>
      </c>
      <c r="D1636">
        <v>84.6</v>
      </c>
      <c r="E1636">
        <v>253.79999999999998</v>
      </c>
      <c r="F1636" s="1">
        <v>45718</v>
      </c>
      <c r="G1636" s="1">
        <v>45720</v>
      </c>
      <c r="H1636" t="s">
        <v>8</v>
      </c>
      <c r="I1636" t="s">
        <v>55</v>
      </c>
      <c r="J1636">
        <v>4</v>
      </c>
      <c r="K1636" t="s">
        <v>4</v>
      </c>
      <c r="L1636" t="s">
        <v>62</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5">
      <c r="A1637" t="s">
        <v>1721</v>
      </c>
      <c r="B1637" t="s">
        <v>27</v>
      </c>
      <c r="C1637">
        <v>14</v>
      </c>
      <c r="D1637">
        <v>41.5</v>
      </c>
      <c r="E1637">
        <v>581</v>
      </c>
      <c r="F1637" s="1">
        <v>45718</v>
      </c>
      <c r="G1637" s="1">
        <v>45732</v>
      </c>
      <c r="H1637" t="s">
        <v>8</v>
      </c>
      <c r="I1637" t="s">
        <v>20</v>
      </c>
      <c r="J1637">
        <v>4</v>
      </c>
      <c r="K1637" t="s">
        <v>4</v>
      </c>
      <c r="L1637" t="s">
        <v>1101</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5">
      <c r="A1638" t="s">
        <v>1722</v>
      </c>
      <c r="B1638" t="s">
        <v>29</v>
      </c>
      <c r="C1638">
        <v>1</v>
      </c>
      <c r="D1638">
        <v>32.799999999999997</v>
      </c>
      <c r="E1638">
        <v>32.799999999999997</v>
      </c>
      <c r="F1638" s="1">
        <v>45718</v>
      </c>
      <c r="G1638" s="1">
        <v>45721</v>
      </c>
      <c r="H1638" t="s">
        <v>8</v>
      </c>
      <c r="I1638" t="s">
        <v>3</v>
      </c>
      <c r="J1638">
        <v>5</v>
      </c>
      <c r="K1638" t="s">
        <v>4</v>
      </c>
      <c r="L1638" t="s">
        <v>253</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5">
      <c r="A1639" t="s">
        <v>1723</v>
      </c>
      <c r="B1639" t="s">
        <v>17</v>
      </c>
      <c r="C1639">
        <v>7</v>
      </c>
      <c r="D1639">
        <v>46.7</v>
      </c>
      <c r="E1639">
        <v>326.90000000000003</v>
      </c>
      <c r="F1639" s="1">
        <v>45718</v>
      </c>
      <c r="G1639" s="1">
        <v>45720</v>
      </c>
      <c r="H1639" t="s">
        <v>74</v>
      </c>
      <c r="I1639" t="s">
        <v>3</v>
      </c>
      <c r="J1639">
        <v>5</v>
      </c>
      <c r="K1639" t="s">
        <v>4</v>
      </c>
      <c r="L1639" t="s">
        <v>93</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5">
      <c r="A1640" t="s">
        <v>1724</v>
      </c>
      <c r="B1640" t="s">
        <v>108</v>
      </c>
      <c r="C1640">
        <v>7</v>
      </c>
      <c r="D1640">
        <v>21</v>
      </c>
      <c r="E1640">
        <v>147</v>
      </c>
      <c r="F1640" s="1">
        <v>45718</v>
      </c>
      <c r="G1640" s="1">
        <v>45721</v>
      </c>
      <c r="H1640" t="s">
        <v>8</v>
      </c>
      <c r="I1640" t="s">
        <v>25</v>
      </c>
      <c r="J1640">
        <v>3</v>
      </c>
      <c r="K1640" t="s">
        <v>4</v>
      </c>
      <c r="L1640" t="s">
        <v>100</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5">
      <c r="A1641" t="s">
        <v>1725</v>
      </c>
      <c r="B1641" t="s">
        <v>22</v>
      </c>
      <c r="C1641">
        <v>7</v>
      </c>
      <c r="D1641">
        <v>29.4</v>
      </c>
      <c r="E1641">
        <v>205.79999999999998</v>
      </c>
      <c r="F1641" s="1">
        <v>45718</v>
      </c>
      <c r="G1641" s="1">
        <v>45718</v>
      </c>
      <c r="H1641" t="s">
        <v>8</v>
      </c>
      <c r="I1641" t="s">
        <v>36</v>
      </c>
      <c r="J1641">
        <v>5</v>
      </c>
      <c r="K1641" t="s">
        <v>4</v>
      </c>
      <c r="L1641" t="s">
        <v>100</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5">
      <c r="A1642" t="s">
        <v>1726</v>
      </c>
      <c r="B1642" t="s">
        <v>108</v>
      </c>
      <c r="C1642">
        <v>2</v>
      </c>
      <c r="D1642">
        <v>32.299999999999997</v>
      </c>
      <c r="E1642">
        <v>64.599999999999994</v>
      </c>
      <c r="F1642" s="1">
        <v>45718</v>
      </c>
      <c r="G1642" s="1">
        <v>45719</v>
      </c>
      <c r="H1642" t="s">
        <v>8</v>
      </c>
      <c r="I1642" t="s">
        <v>3</v>
      </c>
      <c r="J1642">
        <v>5</v>
      </c>
      <c r="K1642" t="s">
        <v>4</v>
      </c>
      <c r="L1642" t="s">
        <v>100</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5">
      <c r="A1643" t="s">
        <v>1727</v>
      </c>
      <c r="B1643" t="s">
        <v>24</v>
      </c>
      <c r="C1643">
        <v>1</v>
      </c>
      <c r="D1643">
        <v>42.2</v>
      </c>
      <c r="E1643">
        <v>42.2</v>
      </c>
      <c r="F1643" s="1">
        <v>45719</v>
      </c>
      <c r="G1643" s="1">
        <v>45721</v>
      </c>
      <c r="H1643" t="s">
        <v>12</v>
      </c>
      <c r="I1643" t="s">
        <v>3</v>
      </c>
      <c r="J1643">
        <v>5</v>
      </c>
      <c r="K1643" t="s">
        <v>4</v>
      </c>
      <c r="L1643" t="s">
        <v>100</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5">
      <c r="A1644" t="s">
        <v>1728</v>
      </c>
      <c r="B1644" t="s">
        <v>24</v>
      </c>
      <c r="C1644">
        <v>1</v>
      </c>
      <c r="D1644">
        <v>53.7</v>
      </c>
      <c r="E1644">
        <v>53.7</v>
      </c>
      <c r="F1644" s="1">
        <v>45719</v>
      </c>
      <c r="G1644" s="1">
        <v>45721</v>
      </c>
      <c r="H1644" t="s">
        <v>8</v>
      </c>
      <c r="I1644" t="s">
        <v>20</v>
      </c>
      <c r="J1644">
        <v>3</v>
      </c>
      <c r="K1644" t="s">
        <v>4</v>
      </c>
      <c r="L1644" t="s">
        <v>9</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5">
      <c r="A1645" t="s">
        <v>1729</v>
      </c>
      <c r="B1645" t="s">
        <v>11</v>
      </c>
      <c r="C1645">
        <v>2</v>
      </c>
      <c r="D1645">
        <v>123.9</v>
      </c>
      <c r="E1645">
        <v>247.8</v>
      </c>
      <c r="F1645" s="1">
        <v>45719</v>
      </c>
      <c r="G1645" s="1">
        <v>45722</v>
      </c>
      <c r="H1645" t="s">
        <v>8</v>
      </c>
      <c r="I1645" t="s">
        <v>25</v>
      </c>
      <c r="J1645">
        <v>4</v>
      </c>
      <c r="K1645" t="s">
        <v>4</v>
      </c>
      <c r="L1645" t="s">
        <v>9</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5">
      <c r="A1646" t="s">
        <v>1730</v>
      </c>
      <c r="B1646" t="s">
        <v>17</v>
      </c>
      <c r="C1646">
        <v>3</v>
      </c>
      <c r="D1646">
        <v>35.9</v>
      </c>
      <c r="E1646">
        <v>107.69999999999999</v>
      </c>
      <c r="F1646" s="1">
        <v>45719</v>
      </c>
      <c r="G1646" s="1">
        <v>45721</v>
      </c>
      <c r="H1646" t="s">
        <v>8</v>
      </c>
      <c r="I1646" t="s">
        <v>25</v>
      </c>
      <c r="J1646">
        <v>4</v>
      </c>
      <c r="K1646" t="s">
        <v>4</v>
      </c>
      <c r="L1646" t="s">
        <v>132</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5">
      <c r="A1647" t="s">
        <v>1731</v>
      </c>
      <c r="B1647" t="s">
        <v>17</v>
      </c>
      <c r="C1647">
        <v>2</v>
      </c>
      <c r="D1647">
        <v>23.6</v>
      </c>
      <c r="E1647">
        <v>47.2</v>
      </c>
      <c r="F1647" s="1">
        <v>45719</v>
      </c>
      <c r="G1647" s="1">
        <v>45722</v>
      </c>
      <c r="H1647" t="s">
        <v>8</v>
      </c>
      <c r="I1647" t="s">
        <v>3</v>
      </c>
      <c r="J1647">
        <v>5</v>
      </c>
      <c r="K1647" t="s">
        <v>4</v>
      </c>
      <c r="L1647" t="s">
        <v>18</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5">
      <c r="A1648" t="s">
        <v>1732</v>
      </c>
      <c r="B1648" t="s">
        <v>108</v>
      </c>
      <c r="C1648">
        <v>35</v>
      </c>
      <c r="D1648">
        <v>45.7</v>
      </c>
      <c r="E1648">
        <v>1599.5</v>
      </c>
      <c r="F1648" s="1">
        <v>45719</v>
      </c>
      <c r="G1648" s="1">
        <v>45720</v>
      </c>
      <c r="H1648" t="s">
        <v>8</v>
      </c>
      <c r="I1648" t="s">
        <v>3</v>
      </c>
      <c r="J1648">
        <v>3</v>
      </c>
      <c r="K1648" t="s">
        <v>4</v>
      </c>
      <c r="L1648" t="s">
        <v>18</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5">
      <c r="A1649" t="s">
        <v>1733</v>
      </c>
      <c r="B1649" t="s">
        <v>24</v>
      </c>
      <c r="C1649">
        <v>11</v>
      </c>
      <c r="D1649">
        <v>118.3</v>
      </c>
      <c r="E1649">
        <v>1301.3</v>
      </c>
      <c r="F1649" s="1">
        <v>45719</v>
      </c>
      <c r="G1649" s="1">
        <v>45721</v>
      </c>
      <c r="H1649" t="s">
        <v>8</v>
      </c>
      <c r="I1649" t="s">
        <v>55</v>
      </c>
      <c r="J1649">
        <v>5</v>
      </c>
      <c r="K1649" t="s">
        <v>4</v>
      </c>
      <c r="L1649" t="s">
        <v>18</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5">
      <c r="A1650" t="s">
        <v>1734</v>
      </c>
      <c r="B1650" t="s">
        <v>156</v>
      </c>
      <c r="C1650">
        <v>1</v>
      </c>
      <c r="D1650">
        <v>36</v>
      </c>
      <c r="E1650">
        <v>36</v>
      </c>
      <c r="F1650" s="1">
        <v>45719</v>
      </c>
      <c r="G1650" s="1">
        <v>45720</v>
      </c>
      <c r="H1650" t="s">
        <v>12</v>
      </c>
      <c r="I1650" t="s">
        <v>3</v>
      </c>
      <c r="J1650">
        <v>3</v>
      </c>
      <c r="K1650" t="s">
        <v>4</v>
      </c>
      <c r="L1650" t="s">
        <v>18</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5">
      <c r="A1651" t="s">
        <v>1735</v>
      </c>
      <c r="B1651" t="s">
        <v>29</v>
      </c>
      <c r="C1651">
        <v>2</v>
      </c>
      <c r="D1651">
        <v>37.1</v>
      </c>
      <c r="E1651">
        <v>74.2</v>
      </c>
      <c r="F1651" s="1">
        <v>45719</v>
      </c>
      <c r="G1651" s="1">
        <v>45722</v>
      </c>
      <c r="H1651" t="s">
        <v>12</v>
      </c>
      <c r="I1651" t="s">
        <v>25</v>
      </c>
      <c r="J1651">
        <v>4</v>
      </c>
      <c r="K1651" t="s">
        <v>4</v>
      </c>
      <c r="L1651" t="s">
        <v>18</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5">
      <c r="A1652" t="s">
        <v>1736</v>
      </c>
      <c r="B1652" t="s">
        <v>131</v>
      </c>
      <c r="C1652">
        <v>3</v>
      </c>
      <c r="D1652">
        <v>45.1</v>
      </c>
      <c r="E1652">
        <v>135.30000000000001</v>
      </c>
      <c r="F1652" s="1">
        <v>45719</v>
      </c>
      <c r="G1652" s="1">
        <v>45721</v>
      </c>
      <c r="H1652" t="s">
        <v>12</v>
      </c>
      <c r="I1652" t="s">
        <v>20</v>
      </c>
      <c r="J1652">
        <v>5</v>
      </c>
      <c r="K1652" t="s">
        <v>4</v>
      </c>
      <c r="L1652" t="s">
        <v>18</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5">
      <c r="A1653" t="s">
        <v>1737</v>
      </c>
      <c r="B1653" t="s">
        <v>22</v>
      </c>
      <c r="C1653">
        <v>16</v>
      </c>
      <c r="D1653">
        <v>37.9</v>
      </c>
      <c r="E1653">
        <v>606.4</v>
      </c>
      <c r="F1653" s="1">
        <v>45719</v>
      </c>
      <c r="G1653" s="1">
        <v>45720</v>
      </c>
      <c r="H1653" t="s">
        <v>12</v>
      </c>
      <c r="I1653" t="s">
        <v>36</v>
      </c>
      <c r="J1653">
        <v>5</v>
      </c>
      <c r="K1653" t="s">
        <v>4</v>
      </c>
      <c r="L1653" t="s">
        <v>18</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5">
      <c r="A1654" t="s">
        <v>1738</v>
      </c>
      <c r="B1654" t="s">
        <v>11</v>
      </c>
      <c r="C1654">
        <v>2</v>
      </c>
      <c r="D1654">
        <v>121.6</v>
      </c>
      <c r="E1654">
        <v>243.2</v>
      </c>
      <c r="F1654" s="1">
        <v>45719</v>
      </c>
      <c r="G1654" s="1">
        <v>45722</v>
      </c>
      <c r="H1654" t="s">
        <v>8</v>
      </c>
      <c r="I1654" t="s">
        <v>36</v>
      </c>
      <c r="J1654">
        <v>5</v>
      </c>
      <c r="K1654" t="s">
        <v>4</v>
      </c>
      <c r="L1654" t="s">
        <v>18</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5">
      <c r="A1655" t="s">
        <v>1739</v>
      </c>
      <c r="B1655" t="s">
        <v>22</v>
      </c>
      <c r="C1655">
        <v>7</v>
      </c>
      <c r="D1655">
        <v>38.200000000000003</v>
      </c>
      <c r="E1655">
        <v>267.40000000000003</v>
      </c>
      <c r="F1655" s="1">
        <v>45719</v>
      </c>
      <c r="G1655" s="1">
        <v>45722</v>
      </c>
      <c r="H1655" t="s">
        <v>12</v>
      </c>
      <c r="I1655" t="s">
        <v>3</v>
      </c>
      <c r="J1655">
        <v>4</v>
      </c>
      <c r="K1655" t="s">
        <v>4</v>
      </c>
      <c r="L1655" t="s">
        <v>18</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5">
      <c r="A1656" t="s">
        <v>1740</v>
      </c>
      <c r="B1656" t="s">
        <v>120</v>
      </c>
      <c r="C1656">
        <v>2</v>
      </c>
      <c r="D1656">
        <v>37.200000000000003</v>
      </c>
      <c r="E1656">
        <v>74.400000000000006</v>
      </c>
      <c r="F1656" s="1">
        <v>45719</v>
      </c>
      <c r="G1656" s="1">
        <v>45722</v>
      </c>
      <c r="H1656" t="s">
        <v>8</v>
      </c>
      <c r="I1656" t="s">
        <v>55</v>
      </c>
      <c r="J1656">
        <v>4</v>
      </c>
      <c r="K1656" t="s">
        <v>4</v>
      </c>
      <c r="L1656" t="s">
        <v>18</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5">
      <c r="A1657" t="s">
        <v>1741</v>
      </c>
      <c r="B1657" t="s">
        <v>11</v>
      </c>
      <c r="C1657">
        <v>4</v>
      </c>
      <c r="D1657">
        <v>115.7</v>
      </c>
      <c r="E1657">
        <v>462.8</v>
      </c>
      <c r="F1657" s="1">
        <v>45719</v>
      </c>
      <c r="G1657" s="1">
        <v>45722</v>
      </c>
      <c r="H1657" t="s">
        <v>12</v>
      </c>
      <c r="I1657" t="s">
        <v>20</v>
      </c>
      <c r="J1657">
        <v>4</v>
      </c>
      <c r="K1657" t="s">
        <v>4</v>
      </c>
      <c r="L1657" t="s">
        <v>18</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5">
      <c r="A1658" t="s">
        <v>1742</v>
      </c>
      <c r="B1658" t="s">
        <v>11</v>
      </c>
      <c r="C1658">
        <v>6</v>
      </c>
      <c r="D1658">
        <v>99.4</v>
      </c>
      <c r="E1658">
        <v>596.40000000000009</v>
      </c>
      <c r="F1658" s="1">
        <v>45719</v>
      </c>
      <c r="G1658" s="1">
        <v>45722</v>
      </c>
      <c r="H1658" t="s">
        <v>8</v>
      </c>
      <c r="I1658" t="s">
        <v>3</v>
      </c>
      <c r="J1658">
        <v>5</v>
      </c>
      <c r="K1658" t="s">
        <v>4</v>
      </c>
      <c r="L1658" t="s">
        <v>18</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5">
      <c r="A1659" t="s">
        <v>1743</v>
      </c>
      <c r="B1659" t="s">
        <v>52</v>
      </c>
      <c r="C1659">
        <v>1</v>
      </c>
      <c r="D1659">
        <v>38.700000000000003</v>
      </c>
      <c r="E1659">
        <v>38.700000000000003</v>
      </c>
      <c r="F1659" s="1">
        <v>45719</v>
      </c>
      <c r="G1659" s="1">
        <v>45720</v>
      </c>
      <c r="H1659" t="s">
        <v>12</v>
      </c>
      <c r="I1659" t="s">
        <v>25</v>
      </c>
      <c r="J1659">
        <v>4</v>
      </c>
      <c r="K1659" t="s">
        <v>4</v>
      </c>
      <c r="L1659" t="s">
        <v>173</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5">
      <c r="A1660" t="s">
        <v>1744</v>
      </c>
      <c r="B1660" t="s">
        <v>17</v>
      </c>
      <c r="C1660">
        <v>2</v>
      </c>
      <c r="D1660">
        <v>35.5</v>
      </c>
      <c r="E1660">
        <v>71</v>
      </c>
      <c r="F1660" s="1">
        <v>45719</v>
      </c>
      <c r="G1660" s="1">
        <v>45722</v>
      </c>
      <c r="H1660" t="s">
        <v>8</v>
      </c>
      <c r="I1660" t="s">
        <v>3</v>
      </c>
      <c r="J1660">
        <v>5</v>
      </c>
      <c r="K1660" t="s">
        <v>4</v>
      </c>
      <c r="L1660" t="s">
        <v>173</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5">
      <c r="A1661" t="s">
        <v>1745</v>
      </c>
      <c r="B1661" t="s">
        <v>11</v>
      </c>
      <c r="C1661">
        <v>4</v>
      </c>
      <c r="D1661">
        <v>93.3</v>
      </c>
      <c r="E1661">
        <v>373.2</v>
      </c>
      <c r="F1661" s="1">
        <v>45719</v>
      </c>
      <c r="G1661" s="1">
        <v>45722</v>
      </c>
      <c r="H1661" t="s">
        <v>12</v>
      </c>
      <c r="I1661" t="s">
        <v>3</v>
      </c>
      <c r="J1661">
        <v>5</v>
      </c>
      <c r="K1661" t="s">
        <v>4</v>
      </c>
      <c r="L1661" t="s">
        <v>40</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5">
      <c r="A1662" t="s">
        <v>1746</v>
      </c>
      <c r="B1662" t="s">
        <v>113</v>
      </c>
      <c r="C1662">
        <v>1</v>
      </c>
      <c r="D1662">
        <v>31.4</v>
      </c>
      <c r="E1662">
        <v>31.4</v>
      </c>
      <c r="F1662" s="1">
        <v>45719</v>
      </c>
      <c r="G1662" s="1">
        <v>45724</v>
      </c>
      <c r="H1662" t="s">
        <v>12</v>
      </c>
      <c r="I1662" t="s">
        <v>25</v>
      </c>
      <c r="J1662">
        <v>5</v>
      </c>
      <c r="K1662" t="s">
        <v>4</v>
      </c>
      <c r="L1662" t="s">
        <v>40</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5">
      <c r="A1663" t="s">
        <v>1747</v>
      </c>
      <c r="B1663" t="s">
        <v>7</v>
      </c>
      <c r="C1663">
        <v>1</v>
      </c>
      <c r="D1663">
        <v>85.9</v>
      </c>
      <c r="E1663">
        <v>85.9</v>
      </c>
      <c r="F1663" s="1">
        <v>45719</v>
      </c>
      <c r="G1663" s="1">
        <v>45722</v>
      </c>
      <c r="H1663" t="s">
        <v>8</v>
      </c>
      <c r="I1663" t="s">
        <v>20</v>
      </c>
      <c r="J1663">
        <v>4</v>
      </c>
      <c r="K1663" t="s">
        <v>4</v>
      </c>
      <c r="L1663" t="s">
        <v>40</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5">
      <c r="A1664" t="s">
        <v>1748</v>
      </c>
      <c r="B1664" t="s">
        <v>24</v>
      </c>
      <c r="C1664">
        <v>8</v>
      </c>
      <c r="D1664">
        <v>41.7</v>
      </c>
      <c r="E1664">
        <v>333.6</v>
      </c>
      <c r="F1664" s="1">
        <v>45719</v>
      </c>
      <c r="G1664" s="1">
        <v>45727</v>
      </c>
      <c r="H1664" t="s">
        <v>8</v>
      </c>
      <c r="I1664" t="s">
        <v>3</v>
      </c>
      <c r="J1664">
        <v>5</v>
      </c>
      <c r="K1664" t="s">
        <v>4</v>
      </c>
      <c r="L1664" t="s">
        <v>44</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5">
      <c r="A1665" t="s">
        <v>1749</v>
      </c>
      <c r="B1665" t="s">
        <v>29</v>
      </c>
      <c r="C1665">
        <v>4</v>
      </c>
      <c r="D1665">
        <v>31.5</v>
      </c>
      <c r="E1665">
        <v>126</v>
      </c>
      <c r="F1665" s="1">
        <v>45719</v>
      </c>
      <c r="G1665" s="1">
        <v>45720</v>
      </c>
      <c r="H1665" t="s">
        <v>12</v>
      </c>
      <c r="I1665" t="s">
        <v>3</v>
      </c>
      <c r="J1665">
        <v>4</v>
      </c>
      <c r="K1665" t="s">
        <v>4</v>
      </c>
      <c r="L1665" t="s">
        <v>44</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5">
      <c r="A1666" t="s">
        <v>1750</v>
      </c>
      <c r="B1666" t="s">
        <v>29</v>
      </c>
      <c r="C1666">
        <v>2</v>
      </c>
      <c r="D1666">
        <v>36.299999999999997</v>
      </c>
      <c r="E1666">
        <v>72.599999999999994</v>
      </c>
      <c r="F1666" s="1">
        <v>45719</v>
      </c>
      <c r="G1666" s="1">
        <v>45720</v>
      </c>
      <c r="H1666" t="s">
        <v>12</v>
      </c>
      <c r="I1666" t="s">
        <v>3</v>
      </c>
      <c r="J1666">
        <v>2</v>
      </c>
      <c r="K1666" t="s">
        <v>4</v>
      </c>
      <c r="L1666" t="s">
        <v>47</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5">
      <c r="A1667" t="s">
        <v>1751</v>
      </c>
      <c r="B1667" t="s">
        <v>29</v>
      </c>
      <c r="C1667">
        <v>3</v>
      </c>
      <c r="D1667">
        <v>33.4</v>
      </c>
      <c r="E1667">
        <v>100.19999999999999</v>
      </c>
      <c r="F1667" s="1">
        <v>45719</v>
      </c>
      <c r="G1667" s="1">
        <v>45720</v>
      </c>
      <c r="H1667" t="s">
        <v>12</v>
      </c>
      <c r="I1667" t="s">
        <v>36</v>
      </c>
      <c r="J1667">
        <v>4</v>
      </c>
      <c r="K1667" t="s">
        <v>4</v>
      </c>
      <c r="L1667" t="s">
        <v>88</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5">
      <c r="A1668" t="s">
        <v>1752</v>
      </c>
      <c r="B1668" t="s">
        <v>11</v>
      </c>
      <c r="C1668">
        <v>3</v>
      </c>
      <c r="D1668">
        <v>65.2</v>
      </c>
      <c r="E1668">
        <v>195.60000000000002</v>
      </c>
      <c r="F1668" s="1">
        <v>45719</v>
      </c>
      <c r="G1668" s="1">
        <v>45720</v>
      </c>
      <c r="H1668" t="s">
        <v>12</v>
      </c>
      <c r="I1668" t="s">
        <v>25</v>
      </c>
      <c r="J1668">
        <v>5</v>
      </c>
      <c r="K1668" t="s">
        <v>4</v>
      </c>
      <c r="L1668" t="s">
        <v>186</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5">
      <c r="A1669" t="s">
        <v>1753</v>
      </c>
      <c r="B1669" t="s">
        <v>29</v>
      </c>
      <c r="C1669">
        <v>9</v>
      </c>
      <c r="D1669">
        <v>65.5</v>
      </c>
      <c r="E1669">
        <v>589.5</v>
      </c>
      <c r="F1669" s="1">
        <v>45719</v>
      </c>
      <c r="G1669" s="1">
        <v>45722</v>
      </c>
      <c r="H1669" t="s">
        <v>12</v>
      </c>
      <c r="I1669" t="s">
        <v>3</v>
      </c>
      <c r="J1669">
        <v>5</v>
      </c>
      <c r="K1669" t="s">
        <v>4</v>
      </c>
      <c r="L1669" t="s">
        <v>57</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5">
      <c r="A1670" t="s">
        <v>1754</v>
      </c>
      <c r="B1670" t="s">
        <v>24</v>
      </c>
      <c r="C1670">
        <v>3</v>
      </c>
      <c r="D1670">
        <v>52.8</v>
      </c>
      <c r="E1670">
        <v>158.39999999999998</v>
      </c>
      <c r="F1670" s="1">
        <v>45719</v>
      </c>
      <c r="G1670" s="1">
        <v>45722</v>
      </c>
      <c r="H1670" t="s">
        <v>8</v>
      </c>
      <c r="I1670" t="s">
        <v>25</v>
      </c>
      <c r="J1670">
        <v>4</v>
      </c>
      <c r="K1670" t="s">
        <v>4</v>
      </c>
      <c r="L1670" t="s">
        <v>57</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5">
      <c r="A1671" t="s">
        <v>1755</v>
      </c>
      <c r="B1671" t="s">
        <v>31</v>
      </c>
      <c r="C1671">
        <v>5</v>
      </c>
      <c r="D1671">
        <v>24</v>
      </c>
      <c r="E1671">
        <v>120</v>
      </c>
      <c r="F1671" s="1">
        <v>45719</v>
      </c>
      <c r="G1671" s="1">
        <v>45723</v>
      </c>
      <c r="H1671" t="s">
        <v>8</v>
      </c>
      <c r="I1671" t="s">
        <v>3</v>
      </c>
      <c r="J1671">
        <v>3</v>
      </c>
      <c r="K1671" t="s">
        <v>4</v>
      </c>
      <c r="L1671" t="s">
        <v>62</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5">
      <c r="A1672" t="s">
        <v>1756</v>
      </c>
      <c r="B1672" t="s">
        <v>15</v>
      </c>
      <c r="C1672">
        <v>3</v>
      </c>
      <c r="D1672">
        <v>51.2</v>
      </c>
      <c r="E1672">
        <v>153.60000000000002</v>
      </c>
      <c r="F1672" s="1">
        <v>45719</v>
      </c>
      <c r="G1672" s="1">
        <v>45720</v>
      </c>
      <c r="H1672" t="s">
        <v>12</v>
      </c>
      <c r="I1672" t="s">
        <v>3</v>
      </c>
      <c r="J1672">
        <v>4</v>
      </c>
      <c r="K1672" t="s">
        <v>4</v>
      </c>
      <c r="L1672" t="s">
        <v>294</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5">
      <c r="A1673" t="s">
        <v>1757</v>
      </c>
      <c r="B1673" t="s">
        <v>22</v>
      </c>
      <c r="C1673">
        <v>3</v>
      </c>
      <c r="D1673">
        <v>28.3</v>
      </c>
      <c r="E1673">
        <v>84.9</v>
      </c>
      <c r="F1673" s="1">
        <v>45719</v>
      </c>
      <c r="G1673" s="1">
        <v>45721</v>
      </c>
      <c r="H1673" t="s">
        <v>8</v>
      </c>
      <c r="I1673" t="s">
        <v>55</v>
      </c>
      <c r="J1673">
        <v>4</v>
      </c>
      <c r="K1673" t="s">
        <v>4</v>
      </c>
      <c r="L1673" t="s">
        <v>95</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5">
      <c r="A1674" t="s">
        <v>1758</v>
      </c>
      <c r="B1674" t="s">
        <v>24</v>
      </c>
      <c r="C1674">
        <v>3</v>
      </c>
      <c r="D1674">
        <v>42.3</v>
      </c>
      <c r="E1674">
        <v>126.89999999999999</v>
      </c>
      <c r="F1674" s="1">
        <v>45719</v>
      </c>
      <c r="G1674" s="1">
        <v>45719</v>
      </c>
      <c r="H1674" t="s">
        <v>12</v>
      </c>
      <c r="I1674" t="s">
        <v>25</v>
      </c>
      <c r="J1674">
        <v>3</v>
      </c>
      <c r="K1674" t="s">
        <v>4</v>
      </c>
      <c r="L1674" t="s">
        <v>95</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5">
      <c r="A1675" t="s">
        <v>1759</v>
      </c>
      <c r="B1675" t="s">
        <v>11</v>
      </c>
      <c r="C1675">
        <v>8</v>
      </c>
      <c r="D1675">
        <v>163.30000000000001</v>
      </c>
      <c r="E1675">
        <v>1306.4000000000001</v>
      </c>
      <c r="F1675" s="1">
        <v>45720</v>
      </c>
      <c r="G1675" s="1">
        <v>45721</v>
      </c>
      <c r="H1675" t="s">
        <v>12</v>
      </c>
      <c r="I1675" t="s">
        <v>20</v>
      </c>
      <c r="J1675">
        <v>4</v>
      </c>
      <c r="K1675" t="s">
        <v>4</v>
      </c>
      <c r="L1675" t="s">
        <v>67</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5">
      <c r="A1676" t="s">
        <v>1760</v>
      </c>
      <c r="B1676" t="s">
        <v>24</v>
      </c>
      <c r="C1676">
        <v>7</v>
      </c>
      <c r="D1676">
        <v>47.3</v>
      </c>
      <c r="E1676">
        <v>331.09999999999997</v>
      </c>
      <c r="F1676" s="1">
        <v>45720</v>
      </c>
      <c r="G1676" s="1">
        <v>45723</v>
      </c>
      <c r="H1676" t="s">
        <v>12</v>
      </c>
      <c r="I1676" t="s">
        <v>55</v>
      </c>
      <c r="J1676">
        <v>3</v>
      </c>
      <c r="K1676" t="s">
        <v>4</v>
      </c>
      <c r="L1676" t="s">
        <v>100</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5">
      <c r="A1677" t="s">
        <v>1761</v>
      </c>
      <c r="B1677" t="s">
        <v>29</v>
      </c>
      <c r="C1677">
        <v>16</v>
      </c>
      <c r="D1677">
        <v>27.3</v>
      </c>
      <c r="E1677">
        <v>436.8</v>
      </c>
      <c r="F1677" s="1">
        <v>45720</v>
      </c>
      <c r="G1677" s="1">
        <v>45721</v>
      </c>
      <c r="H1677" t="s">
        <v>12</v>
      </c>
      <c r="I1677" t="s">
        <v>25</v>
      </c>
      <c r="J1677">
        <v>4</v>
      </c>
      <c r="K1677" t="s">
        <v>4</v>
      </c>
      <c r="L1677" t="s">
        <v>100</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5">
      <c r="A1678" t="s">
        <v>1762</v>
      </c>
      <c r="B1678" t="s">
        <v>39</v>
      </c>
      <c r="C1678">
        <v>6</v>
      </c>
      <c r="D1678">
        <v>34.9</v>
      </c>
      <c r="E1678">
        <v>209.39999999999998</v>
      </c>
      <c r="F1678" s="1">
        <v>45720</v>
      </c>
      <c r="G1678" s="1">
        <v>45731</v>
      </c>
      <c r="H1678" t="s">
        <v>12</v>
      </c>
      <c r="I1678" t="s">
        <v>3</v>
      </c>
      <c r="J1678">
        <v>4</v>
      </c>
      <c r="K1678" t="s">
        <v>4</v>
      </c>
      <c r="L1678" t="s">
        <v>100</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5">
      <c r="A1679" t="s">
        <v>1763</v>
      </c>
      <c r="B1679" t="s">
        <v>24</v>
      </c>
      <c r="C1679">
        <v>2</v>
      </c>
      <c r="D1679">
        <v>53.9</v>
      </c>
      <c r="E1679">
        <v>107.8</v>
      </c>
      <c r="F1679" s="1">
        <v>45720</v>
      </c>
      <c r="G1679" s="1">
        <v>45723</v>
      </c>
      <c r="H1679" t="s">
        <v>74</v>
      </c>
      <c r="I1679" t="s">
        <v>3</v>
      </c>
      <c r="J1679">
        <v>2</v>
      </c>
      <c r="K1679" t="s">
        <v>4</v>
      </c>
      <c r="L1679" t="s">
        <v>9</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5">
      <c r="A1680" t="s">
        <v>1764</v>
      </c>
      <c r="B1680" t="s">
        <v>11</v>
      </c>
      <c r="C1680">
        <v>2</v>
      </c>
      <c r="D1680">
        <v>87.2</v>
      </c>
      <c r="E1680">
        <v>174.4</v>
      </c>
      <c r="F1680" s="1">
        <v>45720</v>
      </c>
      <c r="G1680" s="1">
        <v>45721</v>
      </c>
      <c r="H1680" t="s">
        <v>12</v>
      </c>
      <c r="I1680" t="s">
        <v>3</v>
      </c>
      <c r="J1680">
        <v>3</v>
      </c>
      <c r="K1680" t="s">
        <v>4</v>
      </c>
      <c r="L1680" t="s">
        <v>9</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5">
      <c r="A1681" t="s">
        <v>1765</v>
      </c>
      <c r="B1681" t="s">
        <v>108</v>
      </c>
      <c r="C1681">
        <v>1</v>
      </c>
      <c r="D1681">
        <v>58.8</v>
      </c>
      <c r="E1681">
        <v>58.8</v>
      </c>
      <c r="F1681" s="1">
        <v>45720</v>
      </c>
      <c r="G1681" s="1">
        <v>45722</v>
      </c>
      <c r="H1681" t="s">
        <v>12</v>
      </c>
      <c r="I1681" t="s">
        <v>25</v>
      </c>
      <c r="J1681">
        <v>4</v>
      </c>
      <c r="K1681" t="s">
        <v>4</v>
      </c>
      <c r="L1681" t="s">
        <v>572</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5">
      <c r="A1682" t="s">
        <v>1766</v>
      </c>
      <c r="B1682" t="s">
        <v>11</v>
      </c>
      <c r="C1682">
        <v>7</v>
      </c>
      <c r="D1682">
        <v>125.5</v>
      </c>
      <c r="E1682">
        <v>878.5</v>
      </c>
      <c r="F1682" s="1">
        <v>45720</v>
      </c>
      <c r="G1682" s="1">
        <v>45721</v>
      </c>
      <c r="H1682" t="s">
        <v>8</v>
      </c>
      <c r="I1682" t="s">
        <v>25</v>
      </c>
      <c r="J1682">
        <v>2</v>
      </c>
      <c r="K1682" t="s">
        <v>4</v>
      </c>
      <c r="L1682" t="s">
        <v>132</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5">
      <c r="A1683" t="s">
        <v>1767</v>
      </c>
      <c r="B1683" t="s">
        <v>7</v>
      </c>
      <c r="C1683">
        <v>4</v>
      </c>
      <c r="D1683">
        <v>124.6</v>
      </c>
      <c r="E1683">
        <v>498.4</v>
      </c>
      <c r="F1683" s="1">
        <v>45720</v>
      </c>
      <c r="G1683" s="1">
        <v>45722</v>
      </c>
      <c r="H1683" t="s">
        <v>12</v>
      </c>
      <c r="I1683" t="s">
        <v>3</v>
      </c>
      <c r="J1683">
        <v>3</v>
      </c>
      <c r="K1683" t="s">
        <v>4</v>
      </c>
      <c r="L1683" t="s">
        <v>132</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5">
      <c r="A1684" t="s">
        <v>1768</v>
      </c>
      <c r="B1684" t="s">
        <v>7</v>
      </c>
      <c r="C1684">
        <v>7</v>
      </c>
      <c r="D1684">
        <v>39.9</v>
      </c>
      <c r="E1684">
        <v>279.3</v>
      </c>
      <c r="F1684" s="1">
        <v>45720</v>
      </c>
      <c r="G1684" s="1">
        <v>45721</v>
      </c>
      <c r="H1684" t="s">
        <v>8</v>
      </c>
      <c r="I1684" t="s">
        <v>25</v>
      </c>
      <c r="J1684">
        <v>3</v>
      </c>
      <c r="K1684" t="s">
        <v>4</v>
      </c>
      <c r="L1684" t="s">
        <v>18</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5">
      <c r="A1685" t="s">
        <v>1769</v>
      </c>
      <c r="B1685" t="s">
        <v>24</v>
      </c>
      <c r="C1685">
        <v>1</v>
      </c>
      <c r="D1685">
        <v>94.6</v>
      </c>
      <c r="E1685">
        <v>94.6</v>
      </c>
      <c r="F1685" s="1">
        <v>45720</v>
      </c>
      <c r="G1685" s="1">
        <v>45734</v>
      </c>
      <c r="H1685" t="s">
        <v>12</v>
      </c>
      <c r="I1685" t="s">
        <v>3</v>
      </c>
      <c r="J1685">
        <v>3</v>
      </c>
      <c r="K1685" t="s">
        <v>4</v>
      </c>
      <c r="L1685" t="s">
        <v>18</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5">
      <c r="A1686" t="s">
        <v>1770</v>
      </c>
      <c r="B1686" t="s">
        <v>11</v>
      </c>
      <c r="C1686">
        <v>2</v>
      </c>
      <c r="D1686">
        <v>149.6</v>
      </c>
      <c r="E1686">
        <v>299.2</v>
      </c>
      <c r="F1686" s="1">
        <v>45720</v>
      </c>
      <c r="G1686" s="1">
        <v>45721</v>
      </c>
      <c r="H1686" t="s">
        <v>12</v>
      </c>
      <c r="I1686" t="s">
        <v>3</v>
      </c>
      <c r="J1686">
        <v>4</v>
      </c>
      <c r="K1686" t="s">
        <v>4</v>
      </c>
      <c r="L1686" t="s">
        <v>18</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5">
      <c r="A1687" t="s">
        <v>1771</v>
      </c>
      <c r="B1687" t="s">
        <v>29</v>
      </c>
      <c r="C1687">
        <v>1</v>
      </c>
      <c r="D1687">
        <v>52.2</v>
      </c>
      <c r="E1687">
        <v>52.2</v>
      </c>
      <c r="F1687" s="1">
        <v>45720</v>
      </c>
      <c r="G1687" s="1">
        <v>45721</v>
      </c>
      <c r="H1687" t="s">
        <v>2</v>
      </c>
      <c r="I1687" t="s">
        <v>20</v>
      </c>
      <c r="J1687">
        <v>4</v>
      </c>
      <c r="K1687" t="s">
        <v>4</v>
      </c>
      <c r="L1687" t="s">
        <v>18</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5">
      <c r="A1688" t="s">
        <v>1772</v>
      </c>
      <c r="B1688" t="s">
        <v>24</v>
      </c>
      <c r="C1688">
        <v>2</v>
      </c>
      <c r="D1688">
        <v>96.5</v>
      </c>
      <c r="E1688">
        <v>193</v>
      </c>
      <c r="F1688" s="1">
        <v>45720</v>
      </c>
      <c r="G1688" s="1">
        <v>45721</v>
      </c>
      <c r="H1688" t="s">
        <v>12</v>
      </c>
      <c r="I1688" t="s">
        <v>20</v>
      </c>
      <c r="J1688">
        <v>3</v>
      </c>
      <c r="K1688" t="s">
        <v>4</v>
      </c>
      <c r="L1688" t="s">
        <v>18</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5">
      <c r="A1689" t="s">
        <v>1773</v>
      </c>
      <c r="B1689" t="s">
        <v>29</v>
      </c>
      <c r="C1689">
        <v>2</v>
      </c>
      <c r="D1689">
        <v>79.8</v>
      </c>
      <c r="E1689">
        <v>159.6</v>
      </c>
      <c r="F1689" s="1">
        <v>45720</v>
      </c>
      <c r="G1689" s="1">
        <v>45722</v>
      </c>
      <c r="H1689" t="s">
        <v>12</v>
      </c>
      <c r="I1689" t="s">
        <v>3</v>
      </c>
      <c r="J1689">
        <v>3</v>
      </c>
      <c r="K1689" t="s">
        <v>4</v>
      </c>
      <c r="L1689" t="s">
        <v>18</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5">
      <c r="A1690" t="s">
        <v>1774</v>
      </c>
      <c r="B1690" t="s">
        <v>29</v>
      </c>
      <c r="C1690">
        <v>3</v>
      </c>
      <c r="D1690">
        <v>35.6</v>
      </c>
      <c r="E1690">
        <v>106.80000000000001</v>
      </c>
      <c r="F1690" s="1">
        <v>45720</v>
      </c>
      <c r="G1690" s="1">
        <v>45721</v>
      </c>
      <c r="H1690" t="s">
        <v>12</v>
      </c>
      <c r="I1690" t="s">
        <v>25</v>
      </c>
      <c r="J1690">
        <v>4</v>
      </c>
      <c r="K1690" t="s">
        <v>4</v>
      </c>
      <c r="L1690" t="s">
        <v>18</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5">
      <c r="A1691" t="s">
        <v>1775</v>
      </c>
      <c r="B1691" t="s">
        <v>113</v>
      </c>
      <c r="C1691">
        <v>1</v>
      </c>
      <c r="D1691">
        <v>50.2</v>
      </c>
      <c r="E1691">
        <v>50.2</v>
      </c>
      <c r="F1691" s="1">
        <v>45720</v>
      </c>
      <c r="G1691" s="1">
        <v>45721</v>
      </c>
      <c r="H1691" t="s">
        <v>12</v>
      </c>
      <c r="I1691" t="s">
        <v>20</v>
      </c>
      <c r="J1691">
        <v>5</v>
      </c>
      <c r="K1691" t="s">
        <v>4</v>
      </c>
      <c r="L1691" t="s">
        <v>18</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5">
      <c r="A1692" t="s">
        <v>1776</v>
      </c>
      <c r="B1692" t="s">
        <v>7</v>
      </c>
      <c r="C1692">
        <v>3</v>
      </c>
      <c r="D1692">
        <v>55.3</v>
      </c>
      <c r="E1692">
        <v>165.89999999999998</v>
      </c>
      <c r="F1692" s="1">
        <v>45720</v>
      </c>
      <c r="G1692" s="1">
        <v>45723</v>
      </c>
      <c r="H1692" t="s">
        <v>12</v>
      </c>
      <c r="I1692" t="s">
        <v>3</v>
      </c>
      <c r="J1692">
        <v>2</v>
      </c>
      <c r="K1692" t="s">
        <v>4</v>
      </c>
      <c r="L1692" t="s">
        <v>401</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5">
      <c r="A1693" t="s">
        <v>1777</v>
      </c>
      <c r="B1693" t="s">
        <v>24</v>
      </c>
      <c r="C1693">
        <v>7</v>
      </c>
      <c r="D1693">
        <v>104.5</v>
      </c>
      <c r="E1693">
        <v>731.5</v>
      </c>
      <c r="F1693" s="1">
        <v>45720</v>
      </c>
      <c r="G1693" s="1">
        <v>45724</v>
      </c>
      <c r="H1693" t="s">
        <v>12</v>
      </c>
      <c r="I1693" t="s">
        <v>20</v>
      </c>
      <c r="J1693">
        <v>4</v>
      </c>
      <c r="K1693" t="s">
        <v>4</v>
      </c>
      <c r="L1693" t="s">
        <v>44</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5">
      <c r="A1694" t="s">
        <v>1778</v>
      </c>
      <c r="B1694" t="s">
        <v>24</v>
      </c>
      <c r="C1694">
        <v>4</v>
      </c>
      <c r="D1694">
        <v>66.5</v>
      </c>
      <c r="E1694">
        <v>266</v>
      </c>
      <c r="F1694" s="1">
        <v>45720</v>
      </c>
      <c r="G1694" s="1">
        <v>45722</v>
      </c>
      <c r="H1694" t="s">
        <v>8</v>
      </c>
      <c r="I1694" t="s">
        <v>20</v>
      </c>
      <c r="J1694">
        <v>4</v>
      </c>
      <c r="K1694" t="s">
        <v>4</v>
      </c>
      <c r="L1694" t="s">
        <v>44</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5">
      <c r="A1695" t="s">
        <v>1779</v>
      </c>
      <c r="B1695" t="s">
        <v>39</v>
      </c>
      <c r="C1695">
        <v>8</v>
      </c>
      <c r="D1695">
        <v>38.299999999999997</v>
      </c>
      <c r="E1695">
        <v>306.39999999999998</v>
      </c>
      <c r="F1695" s="1">
        <v>45720</v>
      </c>
      <c r="G1695" s="1">
        <v>45721</v>
      </c>
      <c r="H1695" t="s">
        <v>12</v>
      </c>
      <c r="I1695" t="s">
        <v>3</v>
      </c>
      <c r="J1695">
        <v>4</v>
      </c>
      <c r="K1695" t="s">
        <v>4</v>
      </c>
      <c r="L1695" t="s">
        <v>44</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5">
      <c r="A1696" t="s">
        <v>1780</v>
      </c>
      <c r="B1696" t="s">
        <v>24</v>
      </c>
      <c r="C1696">
        <v>3</v>
      </c>
      <c r="D1696">
        <v>63.8</v>
      </c>
      <c r="E1696">
        <v>191.39999999999998</v>
      </c>
      <c r="F1696" s="1">
        <v>45720</v>
      </c>
      <c r="G1696" s="1">
        <v>45723</v>
      </c>
      <c r="H1696" t="s">
        <v>12</v>
      </c>
      <c r="I1696" t="s">
        <v>20</v>
      </c>
      <c r="J1696">
        <v>4</v>
      </c>
      <c r="K1696" t="s">
        <v>4</v>
      </c>
      <c r="L1696" t="s">
        <v>47</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5">
      <c r="A1697" t="s">
        <v>1781</v>
      </c>
      <c r="B1697" t="s">
        <v>108</v>
      </c>
      <c r="C1697">
        <v>1</v>
      </c>
      <c r="D1697">
        <v>21.4</v>
      </c>
      <c r="E1697">
        <v>21.4</v>
      </c>
      <c r="F1697" s="1">
        <v>45720</v>
      </c>
      <c r="G1697" s="1">
        <v>45720</v>
      </c>
      <c r="H1697" t="s">
        <v>8</v>
      </c>
      <c r="I1697" t="s">
        <v>55</v>
      </c>
      <c r="J1697">
        <v>4</v>
      </c>
      <c r="K1697" t="s">
        <v>4</v>
      </c>
      <c r="L1697" t="s">
        <v>47</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5">
      <c r="A1698" t="s">
        <v>1782</v>
      </c>
      <c r="B1698" t="s">
        <v>29</v>
      </c>
      <c r="C1698">
        <v>4</v>
      </c>
      <c r="D1698">
        <v>44.1</v>
      </c>
      <c r="E1698">
        <v>176.4</v>
      </c>
      <c r="F1698" s="1">
        <v>45720</v>
      </c>
      <c r="G1698" s="1">
        <v>45722</v>
      </c>
      <c r="H1698" t="s">
        <v>12</v>
      </c>
      <c r="I1698" t="s">
        <v>25</v>
      </c>
      <c r="J1698">
        <v>4</v>
      </c>
      <c r="K1698" t="s">
        <v>4</v>
      </c>
      <c r="L1698" t="s">
        <v>47</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5">
      <c r="A1699" t="s">
        <v>1783</v>
      </c>
      <c r="B1699" t="s">
        <v>22</v>
      </c>
      <c r="C1699">
        <v>8</v>
      </c>
      <c r="D1699">
        <v>57.6</v>
      </c>
      <c r="E1699">
        <v>460.8</v>
      </c>
      <c r="F1699" s="1">
        <v>45720</v>
      </c>
      <c r="G1699" s="1">
        <v>45722</v>
      </c>
      <c r="H1699" t="s">
        <v>8</v>
      </c>
      <c r="I1699" t="s">
        <v>20</v>
      </c>
      <c r="J1699">
        <v>5</v>
      </c>
      <c r="K1699" t="s">
        <v>4</v>
      </c>
      <c r="L1699" t="s">
        <v>47</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5">
      <c r="A1700" t="s">
        <v>1784</v>
      </c>
      <c r="B1700" t="s">
        <v>31</v>
      </c>
      <c r="C1700">
        <v>2</v>
      </c>
      <c r="D1700">
        <v>20.3</v>
      </c>
      <c r="E1700">
        <v>40.6</v>
      </c>
      <c r="F1700" s="1">
        <v>45720</v>
      </c>
      <c r="G1700" s="1">
        <v>45726</v>
      </c>
      <c r="H1700" t="s">
        <v>12</v>
      </c>
      <c r="I1700" t="s">
        <v>36</v>
      </c>
      <c r="J1700">
        <v>4</v>
      </c>
      <c r="K1700" t="s">
        <v>4</v>
      </c>
      <c r="L1700" t="s">
        <v>47</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5">
      <c r="A1701" t="s">
        <v>1785</v>
      </c>
      <c r="B1701" t="s">
        <v>29</v>
      </c>
      <c r="C1701">
        <v>1</v>
      </c>
      <c r="D1701">
        <v>22.9</v>
      </c>
      <c r="E1701">
        <v>22.9</v>
      </c>
      <c r="F1701" s="1">
        <v>45720</v>
      </c>
      <c r="G1701" s="1">
        <v>45722</v>
      </c>
      <c r="H1701" t="s">
        <v>12</v>
      </c>
      <c r="I1701" t="s">
        <v>25</v>
      </c>
      <c r="J1701">
        <v>5</v>
      </c>
      <c r="K1701" t="s">
        <v>4</v>
      </c>
      <c r="L1701" t="s">
        <v>47</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5">
      <c r="A1702" t="s">
        <v>1786</v>
      </c>
      <c r="B1702" t="s">
        <v>24</v>
      </c>
      <c r="C1702">
        <v>4</v>
      </c>
      <c r="D1702">
        <v>105.9</v>
      </c>
      <c r="E1702">
        <v>423.6</v>
      </c>
      <c r="F1702" s="1">
        <v>45720</v>
      </c>
      <c r="G1702" s="1">
        <v>45721</v>
      </c>
      <c r="H1702" t="s">
        <v>12</v>
      </c>
      <c r="I1702" t="s">
        <v>20</v>
      </c>
      <c r="J1702">
        <v>5</v>
      </c>
      <c r="K1702" t="s">
        <v>4</v>
      </c>
      <c r="L1702" t="s">
        <v>88</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5">
      <c r="A1703" t="s">
        <v>1787</v>
      </c>
      <c r="B1703" t="s">
        <v>7</v>
      </c>
      <c r="C1703">
        <v>9</v>
      </c>
      <c r="D1703">
        <v>37.4</v>
      </c>
      <c r="E1703">
        <v>336.59999999999997</v>
      </c>
      <c r="F1703" s="1">
        <v>45720</v>
      </c>
      <c r="G1703" s="1">
        <v>45724</v>
      </c>
      <c r="H1703" t="s">
        <v>8</v>
      </c>
      <c r="I1703" t="s">
        <v>20</v>
      </c>
      <c r="J1703">
        <v>4</v>
      </c>
      <c r="K1703" t="s">
        <v>4</v>
      </c>
      <c r="L1703" t="s">
        <v>62</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5">
      <c r="A1704" t="s">
        <v>1788</v>
      </c>
      <c r="B1704" t="s">
        <v>131</v>
      </c>
      <c r="C1704">
        <v>2</v>
      </c>
      <c r="D1704">
        <v>79</v>
      </c>
      <c r="E1704">
        <v>158</v>
      </c>
      <c r="F1704" s="1">
        <v>45720</v>
      </c>
      <c r="G1704" s="1">
        <v>45721</v>
      </c>
      <c r="H1704" t="s">
        <v>8</v>
      </c>
      <c r="I1704" t="s">
        <v>25</v>
      </c>
      <c r="J1704">
        <v>4</v>
      </c>
      <c r="K1704" t="s">
        <v>4</v>
      </c>
      <c r="L1704" t="s">
        <v>228</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5">
      <c r="A1705" t="s">
        <v>1789</v>
      </c>
      <c r="B1705" t="s">
        <v>1</v>
      </c>
      <c r="C1705">
        <v>3</v>
      </c>
      <c r="D1705">
        <v>19.3</v>
      </c>
      <c r="E1705">
        <v>57.900000000000006</v>
      </c>
      <c r="F1705" s="1">
        <v>45720</v>
      </c>
      <c r="G1705" s="1">
        <v>45721</v>
      </c>
      <c r="H1705" t="s">
        <v>12</v>
      </c>
      <c r="I1705" t="s">
        <v>55</v>
      </c>
      <c r="J1705">
        <v>4</v>
      </c>
      <c r="K1705" t="s">
        <v>4</v>
      </c>
      <c r="L1705" t="s">
        <v>100</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5">
      <c r="A1706" t="s">
        <v>1790</v>
      </c>
      <c r="B1706" t="s">
        <v>1</v>
      </c>
      <c r="C1706">
        <v>1</v>
      </c>
      <c r="D1706">
        <v>24</v>
      </c>
      <c r="E1706">
        <v>24</v>
      </c>
      <c r="F1706" s="1">
        <v>45720</v>
      </c>
      <c r="G1706" s="1">
        <v>45721</v>
      </c>
      <c r="H1706" t="s">
        <v>12</v>
      </c>
      <c r="I1706" t="s">
        <v>20</v>
      </c>
      <c r="J1706">
        <v>4</v>
      </c>
      <c r="K1706" t="s">
        <v>4</v>
      </c>
      <c r="L1706" t="s">
        <v>9</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5">
      <c r="A1707" t="s">
        <v>1791</v>
      </c>
      <c r="B1707" t="s">
        <v>24</v>
      </c>
      <c r="C1707">
        <v>5</v>
      </c>
      <c r="D1707">
        <v>71.3</v>
      </c>
      <c r="E1707">
        <v>356.5</v>
      </c>
      <c r="F1707" s="1">
        <v>45720</v>
      </c>
      <c r="G1707" s="1">
        <v>45723</v>
      </c>
      <c r="H1707" t="s">
        <v>12</v>
      </c>
      <c r="I1707" t="s">
        <v>25</v>
      </c>
      <c r="J1707">
        <v>4</v>
      </c>
      <c r="K1707" t="s">
        <v>4</v>
      </c>
      <c r="L1707" t="s">
        <v>13</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5">
      <c r="A1708" t="s">
        <v>1792</v>
      </c>
      <c r="B1708" t="s">
        <v>22</v>
      </c>
      <c r="C1708">
        <v>2</v>
      </c>
      <c r="D1708">
        <v>166.2</v>
      </c>
      <c r="E1708">
        <v>332.4</v>
      </c>
      <c r="F1708" s="1">
        <v>45720</v>
      </c>
      <c r="G1708" s="1">
        <v>45721</v>
      </c>
      <c r="H1708" t="s">
        <v>8</v>
      </c>
      <c r="I1708" t="s">
        <v>3</v>
      </c>
      <c r="J1708">
        <v>5</v>
      </c>
      <c r="K1708" t="s">
        <v>4</v>
      </c>
      <c r="L1708" t="s">
        <v>934</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5">
      <c r="A1709" t="s">
        <v>1793</v>
      </c>
      <c r="B1709" t="s">
        <v>24</v>
      </c>
      <c r="C1709">
        <v>1</v>
      </c>
      <c r="D1709">
        <v>81</v>
      </c>
      <c r="E1709">
        <v>81</v>
      </c>
      <c r="F1709" s="1">
        <v>45720</v>
      </c>
      <c r="G1709" s="1">
        <v>45721</v>
      </c>
      <c r="H1709" t="s">
        <v>12</v>
      </c>
      <c r="I1709" t="s">
        <v>25</v>
      </c>
      <c r="J1709">
        <v>3</v>
      </c>
      <c r="K1709" t="s">
        <v>4</v>
      </c>
      <c r="L1709" t="s">
        <v>18</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5">
      <c r="A1710" t="s">
        <v>1794</v>
      </c>
      <c r="B1710" t="s">
        <v>39</v>
      </c>
      <c r="C1710">
        <v>6</v>
      </c>
      <c r="D1710">
        <v>38.5</v>
      </c>
      <c r="E1710">
        <v>231</v>
      </c>
      <c r="F1710" s="1">
        <v>45720</v>
      </c>
      <c r="G1710" s="1">
        <v>45724</v>
      </c>
      <c r="H1710" t="s">
        <v>12</v>
      </c>
      <c r="I1710" t="s">
        <v>3</v>
      </c>
      <c r="J1710">
        <v>4</v>
      </c>
      <c r="K1710" t="s">
        <v>4</v>
      </c>
      <c r="L1710" t="s">
        <v>18</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5">
      <c r="A1711" t="s">
        <v>1795</v>
      </c>
      <c r="B1711" t="s">
        <v>24</v>
      </c>
      <c r="C1711">
        <v>1</v>
      </c>
      <c r="D1711">
        <v>86.1</v>
      </c>
      <c r="E1711">
        <v>86.1</v>
      </c>
      <c r="F1711" s="1">
        <v>45720</v>
      </c>
      <c r="G1711" s="1">
        <v>45722</v>
      </c>
      <c r="H1711" t="s">
        <v>12</v>
      </c>
      <c r="I1711" t="s">
        <v>36</v>
      </c>
      <c r="J1711">
        <v>4</v>
      </c>
      <c r="K1711" t="s">
        <v>4</v>
      </c>
      <c r="L1711" t="s">
        <v>18</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5">
      <c r="A1712" t="s">
        <v>1796</v>
      </c>
      <c r="B1712" t="s">
        <v>11</v>
      </c>
      <c r="C1712">
        <v>5</v>
      </c>
      <c r="D1712">
        <v>51</v>
      </c>
      <c r="E1712">
        <v>255</v>
      </c>
      <c r="F1712" s="1">
        <v>45720</v>
      </c>
      <c r="G1712" s="1">
        <v>45721</v>
      </c>
      <c r="H1712" t="s">
        <v>8</v>
      </c>
      <c r="I1712" t="s">
        <v>3</v>
      </c>
      <c r="J1712">
        <v>3</v>
      </c>
      <c r="K1712" t="s">
        <v>4</v>
      </c>
      <c r="L1712" t="s">
        <v>18</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5">
      <c r="A1713" t="s">
        <v>1797</v>
      </c>
      <c r="B1713" t="s">
        <v>15</v>
      </c>
      <c r="C1713">
        <v>5</v>
      </c>
      <c r="D1713">
        <v>115.4</v>
      </c>
      <c r="E1713">
        <v>577</v>
      </c>
      <c r="F1713" s="1">
        <v>45720</v>
      </c>
      <c r="G1713" s="1">
        <v>45721</v>
      </c>
      <c r="H1713" t="s">
        <v>8</v>
      </c>
      <c r="I1713" t="s">
        <v>3</v>
      </c>
      <c r="J1713">
        <v>4</v>
      </c>
      <c r="K1713" t="s">
        <v>4</v>
      </c>
      <c r="L1713" t="s">
        <v>18</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5">
      <c r="A1714" t="s">
        <v>1798</v>
      </c>
      <c r="B1714" t="s">
        <v>24</v>
      </c>
      <c r="C1714">
        <v>4</v>
      </c>
      <c r="D1714">
        <v>176.5</v>
      </c>
      <c r="E1714">
        <v>706</v>
      </c>
      <c r="F1714" s="1">
        <v>45720</v>
      </c>
      <c r="G1714" s="1">
        <v>45721</v>
      </c>
      <c r="H1714" t="s">
        <v>12</v>
      </c>
      <c r="I1714" t="s">
        <v>25</v>
      </c>
      <c r="J1714">
        <v>5</v>
      </c>
      <c r="K1714" t="s">
        <v>4</v>
      </c>
      <c r="L1714" t="s">
        <v>18</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5">
      <c r="A1715" t="s">
        <v>1799</v>
      </c>
      <c r="B1715" t="s">
        <v>27</v>
      </c>
      <c r="C1715">
        <v>3</v>
      </c>
      <c r="D1715">
        <v>48.9</v>
      </c>
      <c r="E1715">
        <v>146.69999999999999</v>
      </c>
      <c r="F1715" s="1">
        <v>45720</v>
      </c>
      <c r="G1715" s="1">
        <v>45721</v>
      </c>
      <c r="H1715" t="s">
        <v>8</v>
      </c>
      <c r="I1715" t="s">
        <v>55</v>
      </c>
      <c r="J1715">
        <v>4</v>
      </c>
      <c r="K1715" t="s">
        <v>4</v>
      </c>
      <c r="L1715" t="s">
        <v>18</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5">
      <c r="A1716" t="s">
        <v>1800</v>
      </c>
      <c r="B1716" t="s">
        <v>29</v>
      </c>
      <c r="C1716">
        <v>3</v>
      </c>
      <c r="D1716">
        <v>18.100000000000001</v>
      </c>
      <c r="E1716">
        <v>54.300000000000004</v>
      </c>
      <c r="F1716" s="1">
        <v>45720</v>
      </c>
      <c r="G1716" s="1">
        <v>45727</v>
      </c>
      <c r="H1716" t="s">
        <v>12</v>
      </c>
      <c r="I1716" t="s">
        <v>20</v>
      </c>
      <c r="J1716">
        <v>5</v>
      </c>
      <c r="K1716" t="s">
        <v>4</v>
      </c>
      <c r="L1716" t="s">
        <v>243</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5">
      <c r="A1717" t="s">
        <v>1801</v>
      </c>
      <c r="B1717" t="s">
        <v>11</v>
      </c>
      <c r="C1717">
        <v>2</v>
      </c>
      <c r="D1717">
        <v>118.5</v>
      </c>
      <c r="E1717">
        <v>237</v>
      </c>
      <c r="F1717" s="1">
        <v>45720</v>
      </c>
      <c r="G1717" s="1">
        <v>45723</v>
      </c>
      <c r="H1717" t="s">
        <v>8</v>
      </c>
      <c r="I1717" t="s">
        <v>20</v>
      </c>
      <c r="J1717">
        <v>5</v>
      </c>
      <c r="K1717" t="s">
        <v>4</v>
      </c>
      <c r="L1717" t="s">
        <v>83</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5">
      <c r="A1718" t="s">
        <v>1802</v>
      </c>
      <c r="B1718" t="s">
        <v>108</v>
      </c>
      <c r="C1718">
        <v>7</v>
      </c>
      <c r="D1718">
        <v>59.1</v>
      </c>
      <c r="E1718">
        <v>413.7</v>
      </c>
      <c r="F1718" s="1">
        <v>45720</v>
      </c>
      <c r="G1718" s="1">
        <v>45721</v>
      </c>
      <c r="H1718" t="s">
        <v>12</v>
      </c>
      <c r="I1718" t="s">
        <v>36</v>
      </c>
      <c r="J1718">
        <v>4</v>
      </c>
      <c r="K1718" t="s">
        <v>4</v>
      </c>
      <c r="L1718" t="s">
        <v>173</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5">
      <c r="A1719" t="s">
        <v>1803</v>
      </c>
      <c r="B1719" t="s">
        <v>17</v>
      </c>
      <c r="C1719">
        <v>1</v>
      </c>
      <c r="D1719">
        <v>21.2</v>
      </c>
      <c r="E1719">
        <v>21.2</v>
      </c>
      <c r="F1719" s="1">
        <v>45720</v>
      </c>
      <c r="G1719" s="1">
        <v>45721</v>
      </c>
      <c r="H1719" t="s">
        <v>12</v>
      </c>
      <c r="I1719" t="s">
        <v>3</v>
      </c>
      <c r="J1719">
        <v>3</v>
      </c>
      <c r="K1719" t="s">
        <v>4</v>
      </c>
      <c r="L1719" t="s">
        <v>40</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5">
      <c r="A1720" t="s">
        <v>1804</v>
      </c>
      <c r="B1720" t="s">
        <v>24</v>
      </c>
      <c r="C1720">
        <v>2</v>
      </c>
      <c r="D1720">
        <v>68.8</v>
      </c>
      <c r="E1720">
        <v>137.6</v>
      </c>
      <c r="F1720" s="1">
        <v>45720</v>
      </c>
      <c r="G1720" s="1">
        <v>45725</v>
      </c>
      <c r="H1720" t="s">
        <v>12</v>
      </c>
      <c r="I1720" t="s">
        <v>36</v>
      </c>
      <c r="J1720">
        <v>5</v>
      </c>
      <c r="K1720" t="s">
        <v>4</v>
      </c>
      <c r="L1720" t="s">
        <v>40</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5">
      <c r="A1721" t="s">
        <v>1805</v>
      </c>
      <c r="B1721" t="s">
        <v>24</v>
      </c>
      <c r="C1721">
        <v>2</v>
      </c>
      <c r="D1721">
        <v>65.400000000000006</v>
      </c>
      <c r="E1721">
        <v>130.80000000000001</v>
      </c>
      <c r="F1721" s="1">
        <v>45720</v>
      </c>
      <c r="G1721" s="1">
        <v>45724</v>
      </c>
      <c r="H1721" t="s">
        <v>12</v>
      </c>
      <c r="I1721" t="s">
        <v>3</v>
      </c>
      <c r="J1721">
        <v>4</v>
      </c>
      <c r="K1721" t="s">
        <v>4</v>
      </c>
      <c r="L1721" t="s">
        <v>40</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5">
      <c r="A1722" t="s">
        <v>1806</v>
      </c>
      <c r="B1722" t="s">
        <v>54</v>
      </c>
      <c r="C1722">
        <v>5</v>
      </c>
      <c r="D1722">
        <v>66.3</v>
      </c>
      <c r="E1722">
        <v>331.5</v>
      </c>
      <c r="F1722" s="1">
        <v>45721</v>
      </c>
      <c r="G1722" s="1">
        <v>45724</v>
      </c>
      <c r="H1722" t="s">
        <v>12</v>
      </c>
      <c r="I1722" t="s">
        <v>55</v>
      </c>
      <c r="J1722">
        <v>4</v>
      </c>
      <c r="K1722" t="s">
        <v>4</v>
      </c>
      <c r="L1722" t="s">
        <v>40</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5">
      <c r="A1723" t="s">
        <v>1807</v>
      </c>
      <c r="B1723" t="s">
        <v>24</v>
      </c>
      <c r="C1723">
        <v>3</v>
      </c>
      <c r="D1723">
        <v>97.5</v>
      </c>
      <c r="E1723">
        <v>292.5</v>
      </c>
      <c r="F1723" s="1">
        <v>45721</v>
      </c>
      <c r="G1723" s="1">
        <v>45721</v>
      </c>
      <c r="H1723" t="s">
        <v>8</v>
      </c>
      <c r="I1723" t="s">
        <v>36</v>
      </c>
      <c r="J1723">
        <v>4</v>
      </c>
      <c r="K1723" t="s">
        <v>4</v>
      </c>
      <c r="L1723" t="s">
        <v>47</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5">
      <c r="A1724" t="s">
        <v>1808</v>
      </c>
      <c r="B1724" t="s">
        <v>7</v>
      </c>
      <c r="C1724">
        <v>2</v>
      </c>
      <c r="D1724">
        <v>44</v>
      </c>
      <c r="E1724">
        <v>88</v>
      </c>
      <c r="F1724" s="1">
        <v>45721</v>
      </c>
      <c r="G1724" s="1">
        <v>45724</v>
      </c>
      <c r="H1724" t="s">
        <v>12</v>
      </c>
      <c r="I1724" t="s">
        <v>20</v>
      </c>
      <c r="J1724">
        <v>5</v>
      </c>
      <c r="K1724" t="s">
        <v>4</v>
      </c>
      <c r="L1724" t="s">
        <v>47</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5">
      <c r="A1725" t="s">
        <v>1809</v>
      </c>
      <c r="B1725" t="s">
        <v>1</v>
      </c>
      <c r="C1725">
        <v>1</v>
      </c>
      <c r="D1725">
        <v>21.9</v>
      </c>
      <c r="E1725">
        <v>21.9</v>
      </c>
      <c r="F1725" s="1">
        <v>45721</v>
      </c>
      <c r="G1725" s="1">
        <v>45722</v>
      </c>
      <c r="H1725" t="s">
        <v>8</v>
      </c>
      <c r="I1725" t="s">
        <v>3</v>
      </c>
      <c r="J1725">
        <v>4</v>
      </c>
      <c r="K1725" t="s">
        <v>4</v>
      </c>
      <c r="L1725" t="s">
        <v>47</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5">
      <c r="A1726" t="s">
        <v>1810</v>
      </c>
      <c r="B1726" t="s">
        <v>17</v>
      </c>
      <c r="C1726">
        <v>7</v>
      </c>
      <c r="D1726">
        <v>21.5</v>
      </c>
      <c r="E1726">
        <v>150.5</v>
      </c>
      <c r="F1726" s="1">
        <v>45721</v>
      </c>
      <c r="G1726" s="1">
        <v>45723</v>
      </c>
      <c r="H1726" t="s">
        <v>12</v>
      </c>
      <c r="I1726" t="s">
        <v>20</v>
      </c>
      <c r="J1726">
        <v>5</v>
      </c>
      <c r="K1726" t="s">
        <v>4</v>
      </c>
      <c r="L1726" t="s">
        <v>57</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5">
      <c r="A1727" t="s">
        <v>1811</v>
      </c>
      <c r="B1727" t="s">
        <v>54</v>
      </c>
      <c r="C1727">
        <v>6</v>
      </c>
      <c r="D1727">
        <v>133</v>
      </c>
      <c r="E1727">
        <v>798</v>
      </c>
      <c r="F1727" s="1">
        <v>45721</v>
      </c>
      <c r="G1727" s="1">
        <v>45722</v>
      </c>
      <c r="H1727" t="s">
        <v>74</v>
      </c>
      <c r="I1727" t="s">
        <v>3</v>
      </c>
      <c r="J1727">
        <v>5</v>
      </c>
      <c r="K1727" t="s">
        <v>4</v>
      </c>
      <c r="L1727" t="s">
        <v>59</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5">
      <c r="A1728" t="s">
        <v>1812</v>
      </c>
      <c r="B1728" t="s">
        <v>29</v>
      </c>
      <c r="C1728">
        <v>2</v>
      </c>
      <c r="D1728">
        <v>47.7</v>
      </c>
      <c r="E1728">
        <v>95.4</v>
      </c>
      <c r="F1728" s="1">
        <v>45721</v>
      </c>
      <c r="G1728" s="1">
        <v>45725</v>
      </c>
      <c r="H1728" t="s">
        <v>8</v>
      </c>
      <c r="I1728" t="s">
        <v>3</v>
      </c>
      <c r="J1728">
        <v>5</v>
      </c>
      <c r="K1728" t="s">
        <v>4</v>
      </c>
      <c r="L1728" t="s">
        <v>59</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5">
      <c r="A1729" t="s">
        <v>1813</v>
      </c>
      <c r="B1729" t="s">
        <v>113</v>
      </c>
      <c r="C1729">
        <v>3</v>
      </c>
      <c r="D1729">
        <v>58.1</v>
      </c>
      <c r="E1729">
        <v>174.3</v>
      </c>
      <c r="F1729" s="1">
        <v>45721</v>
      </c>
      <c r="G1729" s="1">
        <v>45722</v>
      </c>
      <c r="H1729" t="s">
        <v>12</v>
      </c>
      <c r="I1729" t="s">
        <v>3</v>
      </c>
      <c r="J1729">
        <v>4</v>
      </c>
      <c r="K1729" t="s">
        <v>4</v>
      </c>
      <c r="L1729" t="s">
        <v>62</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5">
      <c r="A1730" t="s">
        <v>1814</v>
      </c>
      <c r="B1730" t="s">
        <v>54</v>
      </c>
      <c r="C1730">
        <v>4</v>
      </c>
      <c r="D1730">
        <v>66.599999999999994</v>
      </c>
      <c r="E1730">
        <v>266.39999999999998</v>
      </c>
      <c r="F1730" s="1">
        <v>45721</v>
      </c>
      <c r="G1730" s="1">
        <v>45722</v>
      </c>
      <c r="H1730" t="s">
        <v>2</v>
      </c>
      <c r="I1730" t="s">
        <v>3</v>
      </c>
      <c r="J1730">
        <v>4</v>
      </c>
      <c r="K1730" t="s">
        <v>4</v>
      </c>
      <c r="L1730" t="s">
        <v>62</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5">
      <c r="A1731" t="s">
        <v>1815</v>
      </c>
      <c r="B1731" t="s">
        <v>31</v>
      </c>
      <c r="C1731">
        <v>1</v>
      </c>
      <c r="D1731">
        <v>24.1</v>
      </c>
      <c r="E1731">
        <v>24.1</v>
      </c>
      <c r="F1731" s="1">
        <v>45721</v>
      </c>
      <c r="G1731" s="1">
        <v>45724</v>
      </c>
      <c r="H1731" t="s">
        <v>8</v>
      </c>
      <c r="I1731" t="s">
        <v>25</v>
      </c>
      <c r="J1731">
        <v>3</v>
      </c>
      <c r="K1731" t="s">
        <v>4</v>
      </c>
      <c r="L1731" t="s">
        <v>95</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5">
      <c r="A1732" t="s">
        <v>1816</v>
      </c>
      <c r="B1732" t="s">
        <v>39</v>
      </c>
      <c r="C1732">
        <v>5</v>
      </c>
      <c r="D1732">
        <v>51.5</v>
      </c>
      <c r="E1732">
        <v>257.5</v>
      </c>
      <c r="F1732" s="1">
        <v>45721</v>
      </c>
      <c r="G1732" s="1">
        <v>45726</v>
      </c>
      <c r="H1732" t="s">
        <v>12</v>
      </c>
      <c r="I1732" t="s">
        <v>3</v>
      </c>
      <c r="J1732">
        <v>4</v>
      </c>
      <c r="K1732" t="s">
        <v>4</v>
      </c>
      <c r="L1732" t="s">
        <v>67</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5">
      <c r="A1733" t="s">
        <v>1817</v>
      </c>
      <c r="B1733" t="s">
        <v>1</v>
      </c>
      <c r="C1733">
        <v>11</v>
      </c>
      <c r="D1733">
        <v>25.8</v>
      </c>
      <c r="E1733">
        <v>283.8</v>
      </c>
      <c r="F1733" s="1">
        <v>45721</v>
      </c>
      <c r="G1733" s="1">
        <v>45725</v>
      </c>
      <c r="H1733" t="s">
        <v>12</v>
      </c>
      <c r="I1733" t="s">
        <v>36</v>
      </c>
      <c r="J1733">
        <v>2</v>
      </c>
      <c r="K1733" t="s">
        <v>4</v>
      </c>
      <c r="L1733" t="s">
        <v>100</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5">
      <c r="A1734" t="s">
        <v>1818</v>
      </c>
      <c r="B1734" t="s">
        <v>31</v>
      </c>
      <c r="C1734">
        <v>4</v>
      </c>
      <c r="D1734">
        <v>47.7</v>
      </c>
      <c r="E1734">
        <v>190.8</v>
      </c>
      <c r="F1734" s="1">
        <v>45721</v>
      </c>
      <c r="G1734" s="1">
        <v>45721</v>
      </c>
      <c r="H1734" t="s">
        <v>12</v>
      </c>
      <c r="I1734" t="s">
        <v>3</v>
      </c>
      <c r="J1734">
        <v>3</v>
      </c>
      <c r="K1734" t="s">
        <v>4</v>
      </c>
      <c r="L1734" t="s">
        <v>100</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5">
      <c r="A1735" t="s">
        <v>1819</v>
      </c>
      <c r="B1735" t="s">
        <v>27</v>
      </c>
      <c r="C1735">
        <v>5</v>
      </c>
      <c r="D1735">
        <v>73.599999999999994</v>
      </c>
      <c r="E1735">
        <v>368</v>
      </c>
      <c r="F1735" s="1">
        <v>45721</v>
      </c>
      <c r="G1735" s="1">
        <v>45725</v>
      </c>
      <c r="H1735" t="s">
        <v>8</v>
      </c>
      <c r="I1735" t="s">
        <v>20</v>
      </c>
      <c r="J1735">
        <v>4</v>
      </c>
      <c r="K1735" t="s">
        <v>4</v>
      </c>
      <c r="L1735" t="s">
        <v>100</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5">
      <c r="A1736" t="s">
        <v>1820</v>
      </c>
      <c r="B1736" t="s">
        <v>22</v>
      </c>
      <c r="C1736">
        <v>7</v>
      </c>
      <c r="D1736">
        <v>91.2</v>
      </c>
      <c r="E1736">
        <v>638.4</v>
      </c>
      <c r="F1736" s="1">
        <v>45721</v>
      </c>
      <c r="G1736" s="1">
        <v>45722</v>
      </c>
      <c r="H1736" t="s">
        <v>8</v>
      </c>
      <c r="I1736" t="s">
        <v>20</v>
      </c>
      <c r="J1736">
        <v>5</v>
      </c>
      <c r="K1736" t="s">
        <v>4</v>
      </c>
      <c r="L1736" t="s">
        <v>100</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5">
      <c r="A1737" t="s">
        <v>1821</v>
      </c>
      <c r="B1737" t="s">
        <v>7</v>
      </c>
      <c r="C1737">
        <v>8</v>
      </c>
      <c r="D1737">
        <v>36.200000000000003</v>
      </c>
      <c r="E1737">
        <v>289.60000000000002</v>
      </c>
      <c r="F1737" s="1">
        <v>45721</v>
      </c>
      <c r="G1737" s="1">
        <v>45721</v>
      </c>
      <c r="H1737" t="s">
        <v>8</v>
      </c>
      <c r="I1737" t="s">
        <v>25</v>
      </c>
      <c r="J1737">
        <v>5</v>
      </c>
      <c r="K1737" t="s">
        <v>4</v>
      </c>
      <c r="L1737" t="s">
        <v>9</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5">
      <c r="A1738" t="s">
        <v>1822</v>
      </c>
      <c r="B1738" t="s">
        <v>31</v>
      </c>
      <c r="C1738">
        <v>8</v>
      </c>
      <c r="D1738">
        <v>98</v>
      </c>
      <c r="E1738">
        <v>784</v>
      </c>
      <c r="F1738" s="1">
        <v>45721</v>
      </c>
      <c r="G1738" s="1">
        <v>45725</v>
      </c>
      <c r="H1738" t="s">
        <v>12</v>
      </c>
      <c r="I1738" t="s">
        <v>25</v>
      </c>
      <c r="J1738">
        <v>4</v>
      </c>
      <c r="K1738" t="s">
        <v>4</v>
      </c>
      <c r="L1738" t="s">
        <v>13</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5">
      <c r="A1739" t="s">
        <v>1823</v>
      </c>
      <c r="B1739" t="s">
        <v>7</v>
      </c>
      <c r="C1739">
        <v>8</v>
      </c>
      <c r="D1739">
        <v>43.6</v>
      </c>
      <c r="E1739">
        <v>348.8</v>
      </c>
      <c r="F1739" s="1">
        <v>45721</v>
      </c>
      <c r="G1739" s="1">
        <v>45722</v>
      </c>
      <c r="H1739" t="s">
        <v>12</v>
      </c>
      <c r="I1739" t="s">
        <v>25</v>
      </c>
      <c r="J1739">
        <v>4</v>
      </c>
      <c r="K1739" t="s">
        <v>4</v>
      </c>
      <c r="L1739" t="s">
        <v>132</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5">
      <c r="A1740" t="s">
        <v>1824</v>
      </c>
      <c r="B1740" t="s">
        <v>29</v>
      </c>
      <c r="C1740">
        <v>10</v>
      </c>
      <c r="D1740">
        <v>37.799999999999997</v>
      </c>
      <c r="E1740">
        <v>378</v>
      </c>
      <c r="F1740" s="1">
        <v>45721</v>
      </c>
      <c r="G1740" s="1">
        <v>45721</v>
      </c>
      <c r="H1740" t="s">
        <v>74</v>
      </c>
      <c r="I1740" t="s">
        <v>3</v>
      </c>
      <c r="J1740">
        <v>4</v>
      </c>
      <c r="K1740" t="s">
        <v>4</v>
      </c>
      <c r="L1740" t="s">
        <v>934</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5">
      <c r="A1741" t="s">
        <v>1825</v>
      </c>
      <c r="B1741" t="s">
        <v>120</v>
      </c>
      <c r="C1741">
        <v>5</v>
      </c>
      <c r="D1741">
        <v>63.7</v>
      </c>
      <c r="E1741">
        <v>318.5</v>
      </c>
      <c r="F1741" s="1">
        <v>45721</v>
      </c>
      <c r="G1741" s="1">
        <v>45724</v>
      </c>
      <c r="H1741" t="s">
        <v>12</v>
      </c>
      <c r="I1741" t="s">
        <v>25</v>
      </c>
      <c r="J1741">
        <v>3</v>
      </c>
      <c r="K1741" t="s">
        <v>4</v>
      </c>
      <c r="L1741" t="s">
        <v>18</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5">
      <c r="A1742" t="s">
        <v>1826</v>
      </c>
      <c r="B1742" t="s">
        <v>22</v>
      </c>
      <c r="C1742">
        <v>9</v>
      </c>
      <c r="D1742">
        <v>62.9</v>
      </c>
      <c r="E1742">
        <v>566.1</v>
      </c>
      <c r="F1742" s="1">
        <v>45721</v>
      </c>
      <c r="G1742" s="1">
        <v>45726</v>
      </c>
      <c r="H1742" t="s">
        <v>8</v>
      </c>
      <c r="I1742" t="s">
        <v>36</v>
      </c>
      <c r="J1742">
        <v>5</v>
      </c>
      <c r="K1742" t="s">
        <v>4</v>
      </c>
      <c r="L1742" t="s">
        <v>18</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5">
      <c r="A1743" t="s">
        <v>1827</v>
      </c>
      <c r="B1743" t="s">
        <v>24</v>
      </c>
      <c r="C1743">
        <v>7</v>
      </c>
      <c r="D1743">
        <v>61.7</v>
      </c>
      <c r="E1743">
        <v>431.90000000000003</v>
      </c>
      <c r="F1743" s="1">
        <v>45721</v>
      </c>
      <c r="G1743" s="1">
        <v>45724</v>
      </c>
      <c r="H1743" t="s">
        <v>12</v>
      </c>
      <c r="I1743" t="s">
        <v>25</v>
      </c>
      <c r="J1743">
        <v>5</v>
      </c>
      <c r="K1743" t="s">
        <v>4</v>
      </c>
      <c r="L1743" t="s">
        <v>18</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5">
      <c r="A1744" t="s">
        <v>1828</v>
      </c>
      <c r="B1744" t="s">
        <v>131</v>
      </c>
      <c r="C1744">
        <v>14</v>
      </c>
      <c r="D1744">
        <v>36.5</v>
      </c>
      <c r="E1744">
        <v>511</v>
      </c>
      <c r="F1744" s="1">
        <v>45721</v>
      </c>
      <c r="G1744" s="1">
        <v>45722</v>
      </c>
      <c r="H1744" t="s">
        <v>8</v>
      </c>
      <c r="I1744" t="s">
        <v>3</v>
      </c>
      <c r="J1744">
        <v>5</v>
      </c>
      <c r="K1744" t="s">
        <v>4</v>
      </c>
      <c r="L1744" t="s">
        <v>18</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5">
      <c r="A1745" t="s">
        <v>1829</v>
      </c>
      <c r="B1745" t="s">
        <v>52</v>
      </c>
      <c r="C1745">
        <v>3</v>
      </c>
      <c r="D1745">
        <v>98.6</v>
      </c>
      <c r="E1745">
        <v>295.79999999999995</v>
      </c>
      <c r="F1745" s="1">
        <v>45721</v>
      </c>
      <c r="G1745" s="1">
        <v>45724</v>
      </c>
      <c r="H1745" t="s">
        <v>74</v>
      </c>
      <c r="I1745" t="s">
        <v>3</v>
      </c>
      <c r="J1745">
        <v>2</v>
      </c>
      <c r="K1745" t="s">
        <v>4</v>
      </c>
      <c r="L1745" t="s">
        <v>18</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5">
      <c r="A1746" t="s">
        <v>1830</v>
      </c>
      <c r="B1746" t="s">
        <v>29</v>
      </c>
      <c r="C1746">
        <v>2</v>
      </c>
      <c r="D1746">
        <v>19.2</v>
      </c>
      <c r="E1746">
        <v>38.4</v>
      </c>
      <c r="F1746" s="1">
        <v>45721</v>
      </c>
      <c r="G1746" s="1">
        <v>45731</v>
      </c>
      <c r="H1746" t="s">
        <v>8</v>
      </c>
      <c r="I1746" t="s">
        <v>3</v>
      </c>
      <c r="J1746">
        <v>4</v>
      </c>
      <c r="K1746" t="s">
        <v>4</v>
      </c>
      <c r="L1746" t="s">
        <v>18</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5">
      <c r="A1747" t="s">
        <v>1831</v>
      </c>
      <c r="B1747" t="s">
        <v>15</v>
      </c>
      <c r="C1747">
        <v>6</v>
      </c>
      <c r="D1747">
        <v>55.6</v>
      </c>
      <c r="E1747">
        <v>333.6</v>
      </c>
      <c r="F1747" s="1">
        <v>45721</v>
      </c>
      <c r="G1747" s="1">
        <v>45725</v>
      </c>
      <c r="H1747" t="s">
        <v>12</v>
      </c>
      <c r="I1747" t="s">
        <v>3</v>
      </c>
      <c r="J1747">
        <v>5</v>
      </c>
      <c r="K1747" t="s">
        <v>4</v>
      </c>
      <c r="L1747" t="s">
        <v>18</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5">
      <c r="A1748" t="s">
        <v>1832</v>
      </c>
      <c r="B1748" t="s">
        <v>22</v>
      </c>
      <c r="C1748">
        <v>6</v>
      </c>
      <c r="D1748">
        <v>56.4</v>
      </c>
      <c r="E1748">
        <v>338.4</v>
      </c>
      <c r="F1748" s="1">
        <v>45721</v>
      </c>
      <c r="G1748" s="1">
        <v>45722</v>
      </c>
      <c r="H1748" t="s">
        <v>12</v>
      </c>
      <c r="I1748" t="s">
        <v>20</v>
      </c>
      <c r="J1748">
        <v>4</v>
      </c>
      <c r="K1748" t="s">
        <v>4</v>
      </c>
      <c r="L1748" t="s">
        <v>18</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5">
      <c r="A1749" t="s">
        <v>1833</v>
      </c>
      <c r="B1749" t="s">
        <v>17</v>
      </c>
      <c r="C1749">
        <v>8</v>
      </c>
      <c r="D1749">
        <v>43.1</v>
      </c>
      <c r="E1749">
        <v>344.8</v>
      </c>
      <c r="F1749" s="1">
        <v>45721</v>
      </c>
      <c r="G1749" s="1">
        <v>45725</v>
      </c>
      <c r="H1749" t="s">
        <v>12</v>
      </c>
      <c r="I1749" t="s">
        <v>55</v>
      </c>
      <c r="J1749">
        <v>4</v>
      </c>
      <c r="K1749" t="s">
        <v>4</v>
      </c>
      <c r="L1749" t="s">
        <v>18</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5">
      <c r="A1750" t="s">
        <v>1834</v>
      </c>
      <c r="B1750" t="s">
        <v>7</v>
      </c>
      <c r="C1750">
        <v>2</v>
      </c>
      <c r="D1750">
        <v>77.3</v>
      </c>
      <c r="E1750">
        <v>154.6</v>
      </c>
      <c r="F1750" s="1">
        <v>45721</v>
      </c>
      <c r="G1750" s="1">
        <v>45723</v>
      </c>
      <c r="H1750" t="s">
        <v>8</v>
      </c>
      <c r="I1750" t="s">
        <v>3</v>
      </c>
      <c r="J1750">
        <v>4</v>
      </c>
      <c r="K1750" t="s">
        <v>4</v>
      </c>
      <c r="L1750" t="s">
        <v>40</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5">
      <c r="A1751" t="s">
        <v>1835</v>
      </c>
      <c r="B1751" t="s">
        <v>31</v>
      </c>
      <c r="C1751">
        <v>8</v>
      </c>
      <c r="D1751">
        <v>38.299999999999997</v>
      </c>
      <c r="E1751">
        <v>306.39999999999998</v>
      </c>
      <c r="F1751" s="1">
        <v>45721</v>
      </c>
      <c r="G1751" s="1">
        <v>45722</v>
      </c>
      <c r="H1751" t="s">
        <v>8</v>
      </c>
      <c r="I1751" t="s">
        <v>3</v>
      </c>
      <c r="J1751">
        <v>4</v>
      </c>
      <c r="K1751" t="s">
        <v>4</v>
      </c>
      <c r="L1751" t="s">
        <v>44</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5">
      <c r="A1752" t="s">
        <v>1836</v>
      </c>
      <c r="B1752" t="s">
        <v>1</v>
      </c>
      <c r="C1752">
        <v>7</v>
      </c>
      <c r="D1752">
        <v>16.8</v>
      </c>
      <c r="E1752">
        <v>117.60000000000001</v>
      </c>
      <c r="F1752" s="1">
        <v>45721</v>
      </c>
      <c r="G1752" s="1">
        <v>45724</v>
      </c>
      <c r="H1752" t="s">
        <v>8</v>
      </c>
      <c r="I1752" t="s">
        <v>25</v>
      </c>
      <c r="J1752">
        <v>3</v>
      </c>
      <c r="K1752" t="s">
        <v>4</v>
      </c>
      <c r="L1752" t="s">
        <v>47</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5">
      <c r="A1753" t="s">
        <v>1837</v>
      </c>
      <c r="B1753" t="s">
        <v>11</v>
      </c>
      <c r="C1753">
        <v>3</v>
      </c>
      <c r="D1753">
        <v>63.2</v>
      </c>
      <c r="E1753">
        <v>189.60000000000002</v>
      </c>
      <c r="F1753" s="1">
        <v>45721</v>
      </c>
      <c r="G1753" s="1">
        <v>45722</v>
      </c>
      <c r="H1753" t="s">
        <v>12</v>
      </c>
      <c r="I1753" t="s">
        <v>3</v>
      </c>
      <c r="J1753">
        <v>5</v>
      </c>
      <c r="K1753" t="s">
        <v>4</v>
      </c>
      <c r="L1753" t="s">
        <v>47</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5">
      <c r="A1754" t="s">
        <v>1838</v>
      </c>
      <c r="B1754" t="s">
        <v>66</v>
      </c>
      <c r="C1754">
        <v>23</v>
      </c>
      <c r="D1754">
        <v>39.700000000000003</v>
      </c>
      <c r="E1754">
        <v>913.1</v>
      </c>
      <c r="F1754" s="1">
        <v>45721</v>
      </c>
      <c r="G1754" s="1">
        <v>45722</v>
      </c>
      <c r="H1754" t="s">
        <v>8</v>
      </c>
      <c r="I1754" t="s">
        <v>3</v>
      </c>
      <c r="J1754">
        <v>4</v>
      </c>
      <c r="K1754" t="s">
        <v>4</v>
      </c>
      <c r="L1754" t="s">
        <v>47</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5">
      <c r="A1755" t="s">
        <v>1839</v>
      </c>
      <c r="B1755" t="s">
        <v>39</v>
      </c>
      <c r="C1755">
        <v>3</v>
      </c>
      <c r="D1755">
        <v>45.8</v>
      </c>
      <c r="E1755">
        <v>137.39999999999998</v>
      </c>
      <c r="F1755" s="1">
        <v>45721</v>
      </c>
      <c r="G1755" s="1">
        <v>45722</v>
      </c>
      <c r="H1755" t="s">
        <v>12</v>
      </c>
      <c r="I1755" t="s">
        <v>20</v>
      </c>
      <c r="J1755">
        <v>5</v>
      </c>
      <c r="K1755" t="s">
        <v>4</v>
      </c>
      <c r="L1755" t="s">
        <v>47</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5">
      <c r="A1756" t="s">
        <v>1840</v>
      </c>
      <c r="B1756" t="s">
        <v>1</v>
      </c>
      <c r="C1756">
        <v>6</v>
      </c>
      <c r="D1756">
        <v>12.4</v>
      </c>
      <c r="E1756">
        <v>74.400000000000006</v>
      </c>
      <c r="F1756" s="1">
        <v>45721</v>
      </c>
      <c r="G1756" s="1">
        <v>45724</v>
      </c>
      <c r="H1756" t="s">
        <v>8</v>
      </c>
      <c r="I1756" t="s">
        <v>3</v>
      </c>
      <c r="J1756">
        <v>4</v>
      </c>
      <c r="K1756" t="s">
        <v>4</v>
      </c>
      <c r="L1756" t="s">
        <v>47</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5">
      <c r="A1757" t="s">
        <v>1841</v>
      </c>
      <c r="B1757" t="s">
        <v>66</v>
      </c>
      <c r="C1757">
        <v>3</v>
      </c>
      <c r="D1757">
        <v>50.8</v>
      </c>
      <c r="E1757">
        <v>152.39999999999998</v>
      </c>
      <c r="F1757" s="1">
        <v>45722</v>
      </c>
      <c r="G1757" s="1">
        <v>45722</v>
      </c>
      <c r="H1757" t="s">
        <v>12</v>
      </c>
      <c r="I1757" t="s">
        <v>55</v>
      </c>
      <c r="J1757">
        <v>4</v>
      </c>
      <c r="K1757" t="s">
        <v>4</v>
      </c>
      <c r="L1757" t="s">
        <v>88</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5">
      <c r="A1758" t="s">
        <v>1842</v>
      </c>
      <c r="B1758" t="s">
        <v>31</v>
      </c>
      <c r="C1758">
        <v>1</v>
      </c>
      <c r="D1758">
        <v>76</v>
      </c>
      <c r="E1758">
        <v>76</v>
      </c>
      <c r="F1758" s="1">
        <v>45722</v>
      </c>
      <c r="G1758" s="1">
        <v>45726</v>
      </c>
      <c r="H1758" t="s">
        <v>74</v>
      </c>
      <c r="I1758" t="s">
        <v>25</v>
      </c>
      <c r="J1758">
        <v>5</v>
      </c>
      <c r="K1758" t="s">
        <v>4</v>
      </c>
      <c r="L1758" t="s">
        <v>88</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5">
      <c r="A1759" t="s">
        <v>1843</v>
      </c>
      <c r="B1759" t="s">
        <v>7</v>
      </c>
      <c r="C1759">
        <v>2</v>
      </c>
      <c r="D1759">
        <v>51.9</v>
      </c>
      <c r="E1759">
        <v>103.8</v>
      </c>
      <c r="F1759" s="1">
        <v>45722</v>
      </c>
      <c r="G1759" s="1">
        <v>45723</v>
      </c>
      <c r="H1759" t="s">
        <v>8</v>
      </c>
      <c r="I1759" t="s">
        <v>20</v>
      </c>
      <c r="J1759">
        <v>5</v>
      </c>
      <c r="K1759" t="s">
        <v>4</v>
      </c>
      <c r="L1759" t="s">
        <v>186</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5">
      <c r="A1760" t="s">
        <v>1844</v>
      </c>
      <c r="B1760" t="s">
        <v>11</v>
      </c>
      <c r="C1760">
        <v>2</v>
      </c>
      <c r="D1760">
        <v>93.4</v>
      </c>
      <c r="E1760">
        <v>186.8</v>
      </c>
      <c r="F1760" s="1">
        <v>45722</v>
      </c>
      <c r="G1760" s="1">
        <v>45729</v>
      </c>
      <c r="H1760" t="s">
        <v>8</v>
      </c>
      <c r="I1760" t="s">
        <v>3</v>
      </c>
      <c r="J1760">
        <v>1</v>
      </c>
      <c r="K1760" t="s">
        <v>4</v>
      </c>
      <c r="L1760" t="s">
        <v>62</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5">
      <c r="A1761" t="s">
        <v>1845</v>
      </c>
      <c r="B1761" t="s">
        <v>27</v>
      </c>
      <c r="C1761">
        <v>6</v>
      </c>
      <c r="D1761">
        <v>30.8</v>
      </c>
      <c r="E1761">
        <v>184.8</v>
      </c>
      <c r="F1761" s="1">
        <v>45722</v>
      </c>
      <c r="G1761" s="1">
        <v>45725</v>
      </c>
      <c r="H1761" t="s">
        <v>12</v>
      </c>
      <c r="I1761" t="s">
        <v>20</v>
      </c>
      <c r="J1761">
        <v>4</v>
      </c>
      <c r="K1761" t="s">
        <v>4</v>
      </c>
      <c r="L1761" t="s">
        <v>62</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5">
      <c r="A1762" t="s">
        <v>1846</v>
      </c>
      <c r="B1762" t="s">
        <v>11</v>
      </c>
      <c r="C1762">
        <v>1</v>
      </c>
      <c r="D1762">
        <v>143.19999999999999</v>
      </c>
      <c r="E1762">
        <v>143.19999999999999</v>
      </c>
      <c r="F1762" s="1">
        <v>45722</v>
      </c>
      <c r="G1762" s="1">
        <v>45725</v>
      </c>
      <c r="H1762" t="s">
        <v>8</v>
      </c>
      <c r="I1762" t="s">
        <v>25</v>
      </c>
      <c r="J1762">
        <v>4</v>
      </c>
      <c r="K1762" t="s">
        <v>4</v>
      </c>
      <c r="L1762" t="s">
        <v>62</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5">
      <c r="A1763" t="s">
        <v>1847</v>
      </c>
      <c r="B1763" t="s">
        <v>24</v>
      </c>
      <c r="C1763">
        <v>11</v>
      </c>
      <c r="D1763">
        <v>40.4</v>
      </c>
      <c r="E1763">
        <v>444.4</v>
      </c>
      <c r="F1763" s="1">
        <v>45722</v>
      </c>
      <c r="G1763" s="1">
        <v>45724</v>
      </c>
      <c r="H1763" t="s">
        <v>8</v>
      </c>
      <c r="I1763" t="s">
        <v>25</v>
      </c>
      <c r="J1763">
        <v>5</v>
      </c>
      <c r="K1763" t="s">
        <v>4</v>
      </c>
      <c r="L1763" t="s">
        <v>93</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5">
      <c r="A1764" t="s">
        <v>1848</v>
      </c>
      <c r="B1764" t="s">
        <v>11</v>
      </c>
      <c r="C1764">
        <v>19</v>
      </c>
      <c r="D1764">
        <v>131.5</v>
      </c>
      <c r="E1764">
        <v>2498.5</v>
      </c>
      <c r="F1764" s="1">
        <v>45722</v>
      </c>
      <c r="G1764" s="1">
        <v>45724</v>
      </c>
      <c r="H1764" t="s">
        <v>8</v>
      </c>
      <c r="I1764" t="s">
        <v>20</v>
      </c>
      <c r="J1764">
        <v>3</v>
      </c>
      <c r="K1764" t="s">
        <v>4</v>
      </c>
      <c r="L1764" t="s">
        <v>93</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5">
      <c r="A1765" t="s">
        <v>1849</v>
      </c>
      <c r="B1765" t="s">
        <v>131</v>
      </c>
      <c r="C1765">
        <v>7</v>
      </c>
      <c r="D1765">
        <v>61.6</v>
      </c>
      <c r="E1765">
        <v>431.2</v>
      </c>
      <c r="F1765" s="1">
        <v>45722</v>
      </c>
      <c r="G1765" s="1">
        <v>45723</v>
      </c>
      <c r="H1765" t="s">
        <v>8</v>
      </c>
      <c r="I1765" t="s">
        <v>25</v>
      </c>
      <c r="J1765">
        <v>4</v>
      </c>
      <c r="K1765" t="s">
        <v>4</v>
      </c>
      <c r="L1765" t="s">
        <v>100</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5">
      <c r="A1766" t="s">
        <v>1850</v>
      </c>
      <c r="B1766" t="s">
        <v>31</v>
      </c>
      <c r="C1766">
        <v>5</v>
      </c>
      <c r="D1766">
        <v>32.700000000000003</v>
      </c>
      <c r="E1766">
        <v>163.5</v>
      </c>
      <c r="F1766" s="1">
        <v>45722</v>
      </c>
      <c r="G1766" s="1">
        <v>45724</v>
      </c>
      <c r="H1766" t="s">
        <v>8</v>
      </c>
      <c r="I1766" t="s">
        <v>25</v>
      </c>
      <c r="J1766">
        <v>4</v>
      </c>
      <c r="K1766" t="s">
        <v>4</v>
      </c>
      <c r="L1766" t="s">
        <v>9</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5">
      <c r="A1767" t="s">
        <v>1851</v>
      </c>
      <c r="B1767" t="s">
        <v>1</v>
      </c>
      <c r="C1767">
        <v>10</v>
      </c>
      <c r="D1767">
        <v>13.7</v>
      </c>
      <c r="E1767">
        <v>137</v>
      </c>
      <c r="F1767" s="1">
        <v>45722</v>
      </c>
      <c r="G1767" s="1">
        <v>45723</v>
      </c>
      <c r="H1767" t="s">
        <v>8</v>
      </c>
      <c r="I1767" t="s">
        <v>3</v>
      </c>
      <c r="J1767">
        <v>5</v>
      </c>
      <c r="K1767" t="s">
        <v>4</v>
      </c>
      <c r="L1767" t="s">
        <v>18</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5">
      <c r="A1768" t="s">
        <v>1852</v>
      </c>
      <c r="B1768" t="s">
        <v>1</v>
      </c>
      <c r="C1768">
        <v>4</v>
      </c>
      <c r="D1768">
        <v>32.1</v>
      </c>
      <c r="E1768">
        <v>128.4</v>
      </c>
      <c r="F1768" s="1">
        <v>45722</v>
      </c>
      <c r="G1768" s="1">
        <v>45723</v>
      </c>
      <c r="H1768" t="s">
        <v>8</v>
      </c>
      <c r="I1768" t="s">
        <v>55</v>
      </c>
      <c r="J1768">
        <v>3</v>
      </c>
      <c r="K1768" t="s">
        <v>4</v>
      </c>
      <c r="L1768" t="s">
        <v>18</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5">
      <c r="A1769" t="s">
        <v>1853</v>
      </c>
      <c r="B1769" t="s">
        <v>66</v>
      </c>
      <c r="C1769">
        <v>8</v>
      </c>
      <c r="D1769">
        <v>12</v>
      </c>
      <c r="E1769">
        <v>96</v>
      </c>
      <c r="F1769" s="1">
        <v>45722</v>
      </c>
      <c r="G1769" s="1">
        <v>45723</v>
      </c>
      <c r="H1769" t="s">
        <v>8</v>
      </c>
      <c r="I1769" t="s">
        <v>20</v>
      </c>
      <c r="J1769">
        <v>4</v>
      </c>
      <c r="K1769" t="s">
        <v>4</v>
      </c>
      <c r="L1769" t="s">
        <v>171</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5">
      <c r="A1770" t="s">
        <v>1854</v>
      </c>
      <c r="B1770" t="s">
        <v>54</v>
      </c>
      <c r="C1770">
        <v>1</v>
      </c>
      <c r="D1770">
        <v>64.3</v>
      </c>
      <c r="E1770">
        <v>64.3</v>
      </c>
      <c r="F1770" s="1">
        <v>45722</v>
      </c>
      <c r="G1770" s="1">
        <v>45724</v>
      </c>
      <c r="H1770" t="s">
        <v>12</v>
      </c>
      <c r="I1770" t="s">
        <v>25</v>
      </c>
      <c r="J1770">
        <v>5</v>
      </c>
      <c r="K1770" t="s">
        <v>4</v>
      </c>
      <c r="L1770" t="s">
        <v>40</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5">
      <c r="A1771" t="s">
        <v>1855</v>
      </c>
      <c r="B1771" t="s">
        <v>7</v>
      </c>
      <c r="C1771">
        <v>3</v>
      </c>
      <c r="D1771">
        <v>58.2</v>
      </c>
      <c r="E1771">
        <v>174.60000000000002</v>
      </c>
      <c r="F1771" s="1">
        <v>45722</v>
      </c>
      <c r="G1771" s="1">
        <v>45724</v>
      </c>
      <c r="H1771" t="s">
        <v>12</v>
      </c>
      <c r="I1771" t="s">
        <v>20</v>
      </c>
      <c r="J1771">
        <v>5</v>
      </c>
      <c r="K1771" t="s">
        <v>4</v>
      </c>
      <c r="L1771" t="s">
        <v>40</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5">
      <c r="A1772" t="s">
        <v>1856</v>
      </c>
      <c r="B1772" t="s">
        <v>24</v>
      </c>
      <c r="C1772">
        <v>4</v>
      </c>
      <c r="D1772">
        <v>59.2</v>
      </c>
      <c r="E1772">
        <v>236.8</v>
      </c>
      <c r="F1772" s="1">
        <v>45722</v>
      </c>
      <c r="G1772" s="1">
        <v>45722</v>
      </c>
      <c r="H1772" t="s">
        <v>8</v>
      </c>
      <c r="I1772" t="s">
        <v>20</v>
      </c>
      <c r="J1772">
        <v>5</v>
      </c>
      <c r="K1772" t="s">
        <v>4</v>
      </c>
      <c r="L1772" t="s">
        <v>40</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5">
      <c r="A1773" t="s">
        <v>1857</v>
      </c>
      <c r="B1773" t="s">
        <v>39</v>
      </c>
      <c r="C1773">
        <v>11</v>
      </c>
      <c r="D1773">
        <v>35.6</v>
      </c>
      <c r="E1773">
        <v>391.6</v>
      </c>
      <c r="F1773" s="1">
        <v>45722</v>
      </c>
      <c r="G1773" s="1">
        <v>45729</v>
      </c>
      <c r="H1773" t="s">
        <v>8</v>
      </c>
      <c r="I1773" t="s">
        <v>3</v>
      </c>
      <c r="J1773">
        <v>5</v>
      </c>
      <c r="K1773" t="s">
        <v>4</v>
      </c>
      <c r="L1773" t="s">
        <v>47</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5">
      <c r="A1774" t="s">
        <v>1858</v>
      </c>
      <c r="B1774" t="s">
        <v>113</v>
      </c>
      <c r="C1774">
        <v>8</v>
      </c>
      <c r="D1774">
        <v>37</v>
      </c>
      <c r="E1774">
        <v>296</v>
      </c>
      <c r="F1774" s="1">
        <v>45722</v>
      </c>
      <c r="G1774" s="1">
        <v>45726</v>
      </c>
      <c r="H1774" t="s">
        <v>12</v>
      </c>
      <c r="I1774" t="s">
        <v>25</v>
      </c>
      <c r="J1774">
        <v>3</v>
      </c>
      <c r="K1774" t="s">
        <v>4</v>
      </c>
      <c r="L1774" t="s">
        <v>47</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5">
      <c r="A1775" t="s">
        <v>1859</v>
      </c>
      <c r="B1775" t="s">
        <v>7</v>
      </c>
      <c r="C1775">
        <v>13</v>
      </c>
      <c r="D1775">
        <v>80.8</v>
      </c>
      <c r="E1775">
        <v>1050.3999999999999</v>
      </c>
      <c r="F1775" s="1">
        <v>45722</v>
      </c>
      <c r="G1775" s="1">
        <v>45724</v>
      </c>
      <c r="H1775" t="s">
        <v>12</v>
      </c>
      <c r="I1775" t="s">
        <v>3</v>
      </c>
      <c r="J1775">
        <v>4</v>
      </c>
      <c r="K1775" t="s">
        <v>4</v>
      </c>
      <c r="L1775" t="s">
        <v>47</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5">
      <c r="A1776" t="s">
        <v>1860</v>
      </c>
      <c r="B1776" t="s">
        <v>29</v>
      </c>
      <c r="C1776">
        <v>2</v>
      </c>
      <c r="D1776">
        <v>63.2</v>
      </c>
      <c r="E1776">
        <v>126.4</v>
      </c>
      <c r="F1776" s="1">
        <v>45722</v>
      </c>
      <c r="G1776" s="1">
        <v>45723</v>
      </c>
      <c r="H1776" t="s">
        <v>8</v>
      </c>
      <c r="I1776" t="s">
        <v>3</v>
      </c>
      <c r="J1776">
        <v>3</v>
      </c>
      <c r="K1776" t="s">
        <v>4</v>
      </c>
      <c r="L1776" t="s">
        <v>47</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5">
      <c r="A1777" t="s">
        <v>1861</v>
      </c>
      <c r="B1777" t="s">
        <v>15</v>
      </c>
      <c r="C1777">
        <v>2</v>
      </c>
      <c r="D1777">
        <v>40.799999999999997</v>
      </c>
      <c r="E1777">
        <v>81.599999999999994</v>
      </c>
      <c r="F1777" s="1">
        <v>45722</v>
      </c>
      <c r="G1777" s="1">
        <v>45724</v>
      </c>
      <c r="H1777" t="s">
        <v>8</v>
      </c>
      <c r="I1777" t="s">
        <v>3</v>
      </c>
      <c r="J1777">
        <v>3</v>
      </c>
      <c r="K1777" t="s">
        <v>4</v>
      </c>
      <c r="L1777" t="s">
        <v>88</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5">
      <c r="A1778" t="s">
        <v>1862</v>
      </c>
      <c r="B1778" t="s">
        <v>61</v>
      </c>
      <c r="C1778">
        <v>6</v>
      </c>
      <c r="D1778">
        <v>25.7</v>
      </c>
      <c r="E1778">
        <v>154.19999999999999</v>
      </c>
      <c r="F1778" s="1">
        <v>45722</v>
      </c>
      <c r="G1778" s="1">
        <v>45724</v>
      </c>
      <c r="H1778" t="s">
        <v>8</v>
      </c>
      <c r="I1778" t="s">
        <v>55</v>
      </c>
      <c r="J1778">
        <v>4</v>
      </c>
      <c r="K1778" t="s">
        <v>4</v>
      </c>
      <c r="L1778" t="s">
        <v>93</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5">
      <c r="A1779" t="s">
        <v>1863</v>
      </c>
      <c r="B1779" t="s">
        <v>113</v>
      </c>
      <c r="C1779">
        <v>2</v>
      </c>
      <c r="D1779">
        <v>49.9</v>
      </c>
      <c r="E1779">
        <v>99.8</v>
      </c>
      <c r="F1779" s="1">
        <v>45722</v>
      </c>
      <c r="G1779" s="1">
        <v>45725</v>
      </c>
      <c r="H1779" t="s">
        <v>8</v>
      </c>
      <c r="I1779" t="s">
        <v>3</v>
      </c>
      <c r="J1779">
        <v>4</v>
      </c>
      <c r="K1779" t="s">
        <v>4</v>
      </c>
      <c r="L1779" t="s">
        <v>98</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5">
      <c r="A1780" t="s">
        <v>1864</v>
      </c>
      <c r="B1780" t="s">
        <v>29</v>
      </c>
      <c r="C1780">
        <v>2</v>
      </c>
      <c r="D1780">
        <v>20.2</v>
      </c>
      <c r="E1780">
        <v>40.4</v>
      </c>
      <c r="F1780" s="1">
        <v>45722</v>
      </c>
      <c r="G1780" s="1">
        <v>45724</v>
      </c>
      <c r="H1780" t="s">
        <v>12</v>
      </c>
      <c r="I1780" t="s">
        <v>36</v>
      </c>
      <c r="J1780">
        <v>4</v>
      </c>
      <c r="K1780" t="s">
        <v>4</v>
      </c>
      <c r="L1780" t="s">
        <v>100</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5">
      <c r="A1781" t="s">
        <v>1865</v>
      </c>
      <c r="B1781" t="s">
        <v>24</v>
      </c>
      <c r="C1781">
        <v>3</v>
      </c>
      <c r="D1781">
        <v>48.4</v>
      </c>
      <c r="E1781">
        <v>145.19999999999999</v>
      </c>
      <c r="F1781" s="1">
        <v>45722</v>
      </c>
      <c r="G1781" s="1">
        <v>45727</v>
      </c>
      <c r="H1781" t="s">
        <v>12</v>
      </c>
      <c r="I1781" t="s">
        <v>3</v>
      </c>
      <c r="J1781">
        <v>5</v>
      </c>
      <c r="K1781" t="s">
        <v>4</v>
      </c>
      <c r="L1781" t="s">
        <v>100</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5">
      <c r="A1782" t="s">
        <v>1866</v>
      </c>
      <c r="B1782" t="s">
        <v>24</v>
      </c>
      <c r="C1782">
        <v>2</v>
      </c>
      <c r="D1782">
        <v>81</v>
      </c>
      <c r="E1782">
        <v>162</v>
      </c>
      <c r="F1782" s="1">
        <v>45722</v>
      </c>
      <c r="G1782" s="1">
        <v>45723</v>
      </c>
      <c r="H1782" t="s">
        <v>12</v>
      </c>
      <c r="I1782" t="s">
        <v>20</v>
      </c>
      <c r="J1782">
        <v>5</v>
      </c>
      <c r="K1782" t="s">
        <v>4</v>
      </c>
      <c r="L1782" t="s">
        <v>100</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5">
      <c r="A1783" t="s">
        <v>1867</v>
      </c>
      <c r="B1783" t="s">
        <v>29</v>
      </c>
      <c r="C1783">
        <v>6</v>
      </c>
      <c r="D1783">
        <v>19.899999999999999</v>
      </c>
      <c r="E1783">
        <v>119.39999999999999</v>
      </c>
      <c r="F1783" s="1">
        <v>45722</v>
      </c>
      <c r="G1783" s="1">
        <v>45725</v>
      </c>
      <c r="H1783" t="s">
        <v>12</v>
      </c>
      <c r="I1783" t="s">
        <v>3</v>
      </c>
      <c r="J1783">
        <v>3</v>
      </c>
      <c r="K1783" t="s">
        <v>4</v>
      </c>
      <c r="L1783" t="s">
        <v>132</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5">
      <c r="A1784" t="s">
        <v>1868</v>
      </c>
      <c r="B1784" t="s">
        <v>17</v>
      </c>
      <c r="C1784">
        <v>4</v>
      </c>
      <c r="D1784">
        <v>32.200000000000003</v>
      </c>
      <c r="E1784">
        <v>128.80000000000001</v>
      </c>
      <c r="F1784" s="1">
        <v>45722</v>
      </c>
      <c r="G1784" s="1">
        <v>45732</v>
      </c>
      <c r="H1784" t="s">
        <v>8</v>
      </c>
      <c r="I1784" t="s">
        <v>3</v>
      </c>
      <c r="J1784">
        <v>4</v>
      </c>
      <c r="K1784" t="s">
        <v>4</v>
      </c>
      <c r="L1784" t="s">
        <v>132</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5">
      <c r="A1785" t="s">
        <v>1869</v>
      </c>
      <c r="B1785" t="s">
        <v>22</v>
      </c>
      <c r="C1785">
        <v>3</v>
      </c>
      <c r="D1785">
        <v>76.8</v>
      </c>
      <c r="E1785">
        <v>230.39999999999998</v>
      </c>
      <c r="F1785" s="1">
        <v>45722</v>
      </c>
      <c r="G1785" s="1">
        <v>45723</v>
      </c>
      <c r="H1785" t="s">
        <v>12</v>
      </c>
      <c r="I1785" t="s">
        <v>3</v>
      </c>
      <c r="J1785">
        <v>3</v>
      </c>
      <c r="K1785" t="s">
        <v>4</v>
      </c>
      <c r="L1785" t="s">
        <v>18</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5">
      <c r="A1786" t="s">
        <v>1870</v>
      </c>
      <c r="B1786" t="s">
        <v>24</v>
      </c>
      <c r="C1786">
        <v>2</v>
      </c>
      <c r="D1786">
        <v>41.9</v>
      </c>
      <c r="E1786">
        <v>83.8</v>
      </c>
      <c r="F1786" s="1">
        <v>45722</v>
      </c>
      <c r="G1786" s="1">
        <v>45724</v>
      </c>
      <c r="H1786" t="s">
        <v>12</v>
      </c>
      <c r="I1786" t="s">
        <v>3</v>
      </c>
      <c r="J1786">
        <v>4</v>
      </c>
      <c r="K1786" t="s">
        <v>4</v>
      </c>
      <c r="L1786" t="s">
        <v>18</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5">
      <c r="A1787" t="s">
        <v>1871</v>
      </c>
      <c r="B1787" t="s">
        <v>1</v>
      </c>
      <c r="C1787">
        <v>7</v>
      </c>
      <c r="D1787">
        <v>34</v>
      </c>
      <c r="E1787">
        <v>238</v>
      </c>
      <c r="F1787" s="1">
        <v>45722</v>
      </c>
      <c r="G1787" s="1">
        <v>45724</v>
      </c>
      <c r="H1787" t="s">
        <v>12</v>
      </c>
      <c r="I1787" t="s">
        <v>20</v>
      </c>
      <c r="J1787">
        <v>5</v>
      </c>
      <c r="K1787" t="s">
        <v>4</v>
      </c>
      <c r="L1787" t="s">
        <v>18</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5">
      <c r="A1788" t="s">
        <v>1872</v>
      </c>
      <c r="B1788" t="s">
        <v>27</v>
      </c>
      <c r="C1788">
        <v>7</v>
      </c>
      <c r="D1788">
        <v>61.3</v>
      </c>
      <c r="E1788">
        <v>429.09999999999997</v>
      </c>
      <c r="F1788" s="1">
        <v>45722</v>
      </c>
      <c r="G1788" s="1">
        <v>45722</v>
      </c>
      <c r="H1788" t="s">
        <v>12</v>
      </c>
      <c r="I1788" t="s">
        <v>55</v>
      </c>
      <c r="J1788">
        <v>5</v>
      </c>
      <c r="K1788" t="s">
        <v>4</v>
      </c>
      <c r="L1788" t="s">
        <v>18</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5">
      <c r="A1789" t="s">
        <v>1873</v>
      </c>
      <c r="B1789" t="s">
        <v>31</v>
      </c>
      <c r="C1789">
        <v>1</v>
      </c>
      <c r="D1789">
        <v>54.7</v>
      </c>
      <c r="E1789">
        <v>54.7</v>
      </c>
      <c r="F1789" s="1">
        <v>45723</v>
      </c>
      <c r="G1789" s="1">
        <v>45724</v>
      </c>
      <c r="H1789" t="s">
        <v>8</v>
      </c>
      <c r="I1789" t="s">
        <v>3</v>
      </c>
      <c r="J1789">
        <v>3</v>
      </c>
      <c r="K1789" t="s">
        <v>4</v>
      </c>
      <c r="L1789" t="s">
        <v>18</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5">
      <c r="A1790" t="s">
        <v>1874</v>
      </c>
      <c r="B1790" t="s">
        <v>24</v>
      </c>
      <c r="C1790">
        <v>10</v>
      </c>
      <c r="D1790">
        <v>84.7</v>
      </c>
      <c r="E1790">
        <v>847</v>
      </c>
      <c r="F1790" s="1">
        <v>45723</v>
      </c>
      <c r="G1790" s="1">
        <v>45727</v>
      </c>
      <c r="H1790" t="s">
        <v>12</v>
      </c>
      <c r="I1790" t="s">
        <v>3</v>
      </c>
      <c r="J1790">
        <v>4</v>
      </c>
      <c r="K1790" t="s">
        <v>4</v>
      </c>
      <c r="L1790" t="s">
        <v>18</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5">
      <c r="A1791" t="s">
        <v>1875</v>
      </c>
      <c r="B1791" t="s">
        <v>7</v>
      </c>
      <c r="C1791">
        <v>3</v>
      </c>
      <c r="D1791">
        <v>93.4</v>
      </c>
      <c r="E1791">
        <v>280.20000000000005</v>
      </c>
      <c r="F1791" s="1">
        <v>45723</v>
      </c>
      <c r="G1791" s="1">
        <v>45727</v>
      </c>
      <c r="H1791" t="s">
        <v>12</v>
      </c>
      <c r="I1791" t="s">
        <v>36</v>
      </c>
      <c r="J1791">
        <v>4</v>
      </c>
      <c r="K1791" t="s">
        <v>4</v>
      </c>
      <c r="L1791" t="s">
        <v>18</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5">
      <c r="A1792" t="s">
        <v>1876</v>
      </c>
      <c r="B1792" t="s">
        <v>29</v>
      </c>
      <c r="C1792">
        <v>5</v>
      </c>
      <c r="D1792">
        <v>27</v>
      </c>
      <c r="E1792">
        <v>135</v>
      </c>
      <c r="F1792" s="1">
        <v>45723</v>
      </c>
      <c r="G1792" s="1">
        <v>45726</v>
      </c>
      <c r="H1792" t="s">
        <v>8</v>
      </c>
      <c r="I1792" t="s">
        <v>3</v>
      </c>
      <c r="J1792">
        <v>3</v>
      </c>
      <c r="K1792" t="s">
        <v>4</v>
      </c>
      <c r="L1792" t="s">
        <v>18</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5">
      <c r="A1793" t="s">
        <v>1877</v>
      </c>
      <c r="B1793" t="s">
        <v>1</v>
      </c>
      <c r="C1793">
        <v>4</v>
      </c>
      <c r="D1793">
        <v>10.9</v>
      </c>
      <c r="E1793">
        <v>43.6</v>
      </c>
      <c r="F1793" s="1">
        <v>45723</v>
      </c>
      <c r="G1793" s="1">
        <v>45724</v>
      </c>
      <c r="H1793" t="s">
        <v>8</v>
      </c>
      <c r="I1793" t="s">
        <v>25</v>
      </c>
      <c r="J1793">
        <v>4</v>
      </c>
      <c r="K1793" t="s">
        <v>4</v>
      </c>
      <c r="L1793" t="s">
        <v>18</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5">
      <c r="A1794" t="s">
        <v>1878</v>
      </c>
      <c r="B1794" t="s">
        <v>113</v>
      </c>
      <c r="C1794">
        <v>3</v>
      </c>
      <c r="D1794">
        <v>48</v>
      </c>
      <c r="E1794">
        <v>144</v>
      </c>
      <c r="F1794" s="1">
        <v>45723</v>
      </c>
      <c r="G1794" s="1">
        <v>45728</v>
      </c>
      <c r="H1794" t="s">
        <v>12</v>
      </c>
      <c r="I1794" t="s">
        <v>55</v>
      </c>
      <c r="J1794">
        <v>4</v>
      </c>
      <c r="K1794" t="s">
        <v>4</v>
      </c>
      <c r="L1794" t="s">
        <v>18</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5">
      <c r="A1795" t="s">
        <v>1879</v>
      </c>
      <c r="B1795" t="s">
        <v>22</v>
      </c>
      <c r="C1795">
        <v>2</v>
      </c>
      <c r="D1795">
        <v>67.900000000000006</v>
      </c>
      <c r="E1795">
        <v>135.80000000000001</v>
      </c>
      <c r="F1795" s="1">
        <v>45723</v>
      </c>
      <c r="G1795" s="1">
        <v>45724</v>
      </c>
      <c r="H1795" t="s">
        <v>8</v>
      </c>
      <c r="I1795" t="s">
        <v>3</v>
      </c>
      <c r="J1795">
        <v>5</v>
      </c>
      <c r="K1795" t="s">
        <v>4</v>
      </c>
      <c r="L1795" t="s">
        <v>143</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5">
      <c r="A1796" t="s">
        <v>1880</v>
      </c>
      <c r="B1796" t="s">
        <v>17</v>
      </c>
      <c r="C1796">
        <v>3</v>
      </c>
      <c r="D1796">
        <v>36</v>
      </c>
      <c r="E1796">
        <v>108</v>
      </c>
      <c r="F1796" s="1">
        <v>45723</v>
      </c>
      <c r="G1796" s="1">
        <v>45724</v>
      </c>
      <c r="H1796" t="s">
        <v>8</v>
      </c>
      <c r="I1796" t="s">
        <v>20</v>
      </c>
      <c r="J1796">
        <v>4</v>
      </c>
      <c r="K1796" t="s">
        <v>4</v>
      </c>
      <c r="L1796" t="s">
        <v>40</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5">
      <c r="A1797" t="s">
        <v>1881</v>
      </c>
      <c r="B1797" t="s">
        <v>11</v>
      </c>
      <c r="C1797">
        <v>1</v>
      </c>
      <c r="D1797">
        <v>128.80000000000001</v>
      </c>
      <c r="E1797">
        <v>128.80000000000001</v>
      </c>
      <c r="F1797" s="1">
        <v>45723</v>
      </c>
      <c r="G1797" s="1">
        <v>45724</v>
      </c>
      <c r="H1797" t="s">
        <v>8</v>
      </c>
      <c r="I1797" t="s">
        <v>55</v>
      </c>
      <c r="J1797">
        <v>5</v>
      </c>
      <c r="K1797" t="s">
        <v>4</v>
      </c>
      <c r="L1797" t="s">
        <v>40</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5">
      <c r="A1798" t="s">
        <v>1882</v>
      </c>
      <c r="B1798" t="s">
        <v>131</v>
      </c>
      <c r="C1798">
        <v>7</v>
      </c>
      <c r="D1798">
        <v>33.299999999999997</v>
      </c>
      <c r="E1798">
        <v>233.09999999999997</v>
      </c>
      <c r="F1798" s="1">
        <v>45723</v>
      </c>
      <c r="G1798" s="1">
        <v>45724</v>
      </c>
      <c r="H1798" t="s">
        <v>12</v>
      </c>
      <c r="I1798" t="s">
        <v>36</v>
      </c>
      <c r="J1798">
        <v>4</v>
      </c>
      <c r="K1798" t="s">
        <v>4</v>
      </c>
      <c r="L1798" t="s">
        <v>47</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5">
      <c r="A1799" t="s">
        <v>1883</v>
      </c>
      <c r="B1799" t="s">
        <v>39</v>
      </c>
      <c r="C1799">
        <v>3</v>
      </c>
      <c r="D1799">
        <v>37.799999999999997</v>
      </c>
      <c r="E1799">
        <v>113.39999999999999</v>
      </c>
      <c r="F1799" s="1">
        <v>45723</v>
      </c>
      <c r="G1799" s="1">
        <v>45725</v>
      </c>
      <c r="H1799" t="s">
        <v>8</v>
      </c>
      <c r="I1799" t="s">
        <v>20</v>
      </c>
      <c r="J1799">
        <v>5</v>
      </c>
      <c r="K1799" t="s">
        <v>4</v>
      </c>
      <c r="L1799" t="s">
        <v>47</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5">
      <c r="A1800" t="s">
        <v>1884</v>
      </c>
      <c r="B1800" t="s">
        <v>22</v>
      </c>
      <c r="C1800">
        <v>3</v>
      </c>
      <c r="D1800">
        <v>26</v>
      </c>
      <c r="E1800">
        <v>78</v>
      </c>
      <c r="F1800" s="1">
        <v>45723</v>
      </c>
      <c r="G1800" s="1">
        <v>45728</v>
      </c>
      <c r="H1800" t="s">
        <v>12</v>
      </c>
      <c r="I1800" t="s">
        <v>3</v>
      </c>
      <c r="J1800">
        <v>4</v>
      </c>
      <c r="K1800" t="s">
        <v>4</v>
      </c>
      <c r="L1800" t="s">
        <v>47</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5">
      <c r="A1801" t="s">
        <v>1885</v>
      </c>
      <c r="B1801" t="s">
        <v>29</v>
      </c>
      <c r="C1801">
        <v>19</v>
      </c>
      <c r="D1801">
        <v>28.3</v>
      </c>
      <c r="E1801">
        <v>537.70000000000005</v>
      </c>
      <c r="F1801" s="1">
        <v>45723</v>
      </c>
      <c r="G1801" s="1">
        <v>45724</v>
      </c>
      <c r="H1801" t="s">
        <v>12</v>
      </c>
      <c r="I1801" t="s">
        <v>36</v>
      </c>
      <c r="J1801">
        <v>2</v>
      </c>
      <c r="K1801" t="s">
        <v>4</v>
      </c>
      <c r="L1801" t="s">
        <v>47</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5">
      <c r="A1802" t="s">
        <v>1886</v>
      </c>
      <c r="B1802" t="s">
        <v>29</v>
      </c>
      <c r="C1802">
        <v>4</v>
      </c>
      <c r="D1802">
        <v>31.3</v>
      </c>
      <c r="E1802">
        <v>125.2</v>
      </c>
      <c r="F1802" s="1">
        <v>45723</v>
      </c>
      <c r="G1802" s="1">
        <v>45723</v>
      </c>
      <c r="H1802" t="s">
        <v>12</v>
      </c>
      <c r="I1802" t="s">
        <v>3</v>
      </c>
      <c r="J1802">
        <v>4</v>
      </c>
      <c r="K1802" t="s">
        <v>4</v>
      </c>
      <c r="L1802" t="s">
        <v>47</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5">
      <c r="A1803" t="s">
        <v>1887</v>
      </c>
      <c r="B1803" t="s">
        <v>27</v>
      </c>
      <c r="C1803">
        <v>3</v>
      </c>
      <c r="D1803">
        <v>69.5</v>
      </c>
      <c r="E1803">
        <v>208.5</v>
      </c>
      <c r="F1803" s="1">
        <v>45723</v>
      </c>
      <c r="G1803" s="1">
        <v>45724</v>
      </c>
      <c r="H1803" t="s">
        <v>12</v>
      </c>
      <c r="I1803" t="s">
        <v>36</v>
      </c>
      <c r="J1803">
        <v>5</v>
      </c>
      <c r="K1803" t="s">
        <v>4</v>
      </c>
      <c r="L1803" t="s">
        <v>47</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5">
      <c r="A1804" t="s">
        <v>1888</v>
      </c>
      <c r="B1804" t="s">
        <v>1</v>
      </c>
      <c r="C1804">
        <v>2</v>
      </c>
      <c r="D1804">
        <v>16.7</v>
      </c>
      <c r="E1804">
        <v>33.4</v>
      </c>
      <c r="F1804" s="1">
        <v>45723</v>
      </c>
      <c r="G1804" s="1">
        <v>45724</v>
      </c>
      <c r="H1804" t="s">
        <v>12</v>
      </c>
      <c r="I1804" t="s">
        <v>36</v>
      </c>
      <c r="J1804">
        <v>3</v>
      </c>
      <c r="K1804" t="s">
        <v>4</v>
      </c>
      <c r="L1804" t="s">
        <v>47</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5">
      <c r="A1805" t="s">
        <v>1889</v>
      </c>
      <c r="B1805" t="s">
        <v>31</v>
      </c>
      <c r="C1805">
        <v>2</v>
      </c>
      <c r="D1805">
        <v>62.6</v>
      </c>
      <c r="E1805">
        <v>125.2</v>
      </c>
      <c r="F1805" s="1">
        <v>45723</v>
      </c>
      <c r="G1805" s="1">
        <v>45724</v>
      </c>
      <c r="H1805" t="s">
        <v>8</v>
      </c>
      <c r="I1805" t="s">
        <v>25</v>
      </c>
      <c r="J1805">
        <v>5</v>
      </c>
      <c r="K1805" t="s">
        <v>4</v>
      </c>
      <c r="L1805" t="s">
        <v>57</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5">
      <c r="A1806" t="s">
        <v>1890</v>
      </c>
      <c r="B1806" t="s">
        <v>27</v>
      </c>
      <c r="C1806">
        <v>1</v>
      </c>
      <c r="D1806">
        <v>81.2</v>
      </c>
      <c r="E1806">
        <v>81.2</v>
      </c>
      <c r="F1806" s="1">
        <v>45723</v>
      </c>
      <c r="G1806" s="1">
        <v>45729</v>
      </c>
      <c r="H1806" t="s">
        <v>8</v>
      </c>
      <c r="I1806" t="s">
        <v>55</v>
      </c>
      <c r="J1806">
        <v>2</v>
      </c>
      <c r="K1806" t="s">
        <v>4</v>
      </c>
      <c r="L1806" t="s">
        <v>57</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5">
      <c r="A1807" t="s">
        <v>1891</v>
      </c>
      <c r="B1807" t="s">
        <v>1</v>
      </c>
      <c r="C1807">
        <v>10</v>
      </c>
      <c r="D1807">
        <v>12.7</v>
      </c>
      <c r="E1807">
        <v>127</v>
      </c>
      <c r="F1807" s="1">
        <v>45723</v>
      </c>
      <c r="G1807" s="1">
        <v>45724</v>
      </c>
      <c r="H1807" t="s">
        <v>12</v>
      </c>
      <c r="I1807" t="s">
        <v>3</v>
      </c>
      <c r="J1807">
        <v>5</v>
      </c>
      <c r="K1807" t="s">
        <v>4</v>
      </c>
      <c r="L1807" t="s">
        <v>57</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5">
      <c r="A1808" t="s">
        <v>1892</v>
      </c>
      <c r="B1808" t="s">
        <v>27</v>
      </c>
      <c r="C1808">
        <v>4</v>
      </c>
      <c r="D1808">
        <v>77.7</v>
      </c>
      <c r="E1808">
        <v>310.8</v>
      </c>
      <c r="F1808" s="1">
        <v>45724</v>
      </c>
      <c r="G1808" s="1">
        <v>45728</v>
      </c>
      <c r="H1808" t="s">
        <v>8</v>
      </c>
      <c r="I1808" t="s">
        <v>20</v>
      </c>
      <c r="J1808">
        <v>4</v>
      </c>
      <c r="K1808" t="s">
        <v>4</v>
      </c>
      <c r="L1808" t="s">
        <v>62</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5">
      <c r="A1809" t="s">
        <v>1893</v>
      </c>
      <c r="B1809" t="s">
        <v>22</v>
      </c>
      <c r="C1809">
        <v>2</v>
      </c>
      <c r="D1809">
        <v>37.299999999999997</v>
      </c>
      <c r="E1809">
        <v>74.599999999999994</v>
      </c>
      <c r="F1809" s="1">
        <v>45724</v>
      </c>
      <c r="G1809" s="1">
        <v>45725</v>
      </c>
      <c r="H1809" t="s">
        <v>12</v>
      </c>
      <c r="I1809" t="s">
        <v>3</v>
      </c>
      <c r="J1809">
        <v>5</v>
      </c>
      <c r="K1809" t="s">
        <v>4</v>
      </c>
      <c r="L1809" t="s">
        <v>93</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5">
      <c r="A1810" t="s">
        <v>1894</v>
      </c>
      <c r="B1810" t="s">
        <v>39</v>
      </c>
      <c r="C1810">
        <v>4</v>
      </c>
      <c r="D1810">
        <v>35.6</v>
      </c>
      <c r="E1810">
        <v>142.4</v>
      </c>
      <c r="F1810" s="1">
        <v>45724</v>
      </c>
      <c r="G1810" s="1">
        <v>45726</v>
      </c>
      <c r="H1810" t="s">
        <v>12</v>
      </c>
      <c r="I1810" t="s">
        <v>20</v>
      </c>
      <c r="J1810">
        <v>3</v>
      </c>
      <c r="K1810" t="s">
        <v>4</v>
      </c>
      <c r="L1810" t="s">
        <v>95</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5">
      <c r="A1811" t="s">
        <v>1895</v>
      </c>
      <c r="B1811" t="s">
        <v>11</v>
      </c>
      <c r="C1811">
        <v>3</v>
      </c>
      <c r="D1811">
        <v>95</v>
      </c>
      <c r="E1811">
        <v>285</v>
      </c>
      <c r="F1811" s="1">
        <v>45724</v>
      </c>
      <c r="G1811" s="1">
        <v>45728</v>
      </c>
      <c r="H1811" t="s">
        <v>12</v>
      </c>
      <c r="I1811" t="s">
        <v>25</v>
      </c>
      <c r="J1811">
        <v>5</v>
      </c>
      <c r="K1811" t="s">
        <v>4</v>
      </c>
      <c r="L1811" t="s">
        <v>1896</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5">
      <c r="A1812" t="s">
        <v>1897</v>
      </c>
      <c r="B1812" t="s">
        <v>11</v>
      </c>
      <c r="C1812">
        <v>4</v>
      </c>
      <c r="D1812">
        <v>172.1</v>
      </c>
      <c r="E1812">
        <v>688.4</v>
      </c>
      <c r="F1812" s="1">
        <v>45724</v>
      </c>
      <c r="G1812" s="1">
        <v>45728</v>
      </c>
      <c r="H1812" t="s">
        <v>74</v>
      </c>
      <c r="I1812" t="s">
        <v>25</v>
      </c>
      <c r="J1812">
        <v>5</v>
      </c>
      <c r="K1812" t="s">
        <v>4</v>
      </c>
      <c r="L1812" t="s">
        <v>100</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5">
      <c r="A1813" t="s">
        <v>1898</v>
      </c>
      <c r="B1813" t="s">
        <v>11</v>
      </c>
      <c r="C1813">
        <v>2</v>
      </c>
      <c r="D1813">
        <v>233</v>
      </c>
      <c r="E1813">
        <v>466</v>
      </c>
      <c r="F1813" s="1">
        <v>45724</v>
      </c>
      <c r="G1813" s="1">
        <v>45727</v>
      </c>
      <c r="H1813" t="s">
        <v>12</v>
      </c>
      <c r="I1813" t="s">
        <v>20</v>
      </c>
      <c r="J1813">
        <v>4</v>
      </c>
      <c r="K1813" t="s">
        <v>4</v>
      </c>
      <c r="L1813" t="s">
        <v>100</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5">
      <c r="A1814" t="s">
        <v>1899</v>
      </c>
      <c r="B1814" t="s">
        <v>1</v>
      </c>
      <c r="C1814">
        <v>1</v>
      </c>
      <c r="D1814">
        <v>43.5</v>
      </c>
      <c r="E1814">
        <v>43.5</v>
      </c>
      <c r="F1814" s="1">
        <v>45724</v>
      </c>
      <c r="G1814" s="1">
        <v>45725</v>
      </c>
      <c r="H1814" t="s">
        <v>12</v>
      </c>
      <c r="I1814" t="s">
        <v>25</v>
      </c>
      <c r="J1814">
        <v>5</v>
      </c>
      <c r="K1814" t="s">
        <v>4</v>
      </c>
      <c r="L1814" t="s">
        <v>100</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5">
      <c r="A1815" t="s">
        <v>1900</v>
      </c>
      <c r="B1815" t="s">
        <v>31</v>
      </c>
      <c r="C1815">
        <v>2</v>
      </c>
      <c r="D1815">
        <v>47.8</v>
      </c>
      <c r="E1815">
        <v>95.6</v>
      </c>
      <c r="F1815" s="1">
        <v>45724</v>
      </c>
      <c r="G1815" s="1">
        <v>45727</v>
      </c>
      <c r="H1815" t="s">
        <v>8</v>
      </c>
      <c r="I1815" t="s">
        <v>55</v>
      </c>
      <c r="J1815">
        <v>5</v>
      </c>
      <c r="K1815" t="s">
        <v>4</v>
      </c>
      <c r="L1815" t="s">
        <v>9</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5">
      <c r="A1816" t="s">
        <v>1901</v>
      </c>
      <c r="B1816" t="s">
        <v>54</v>
      </c>
      <c r="C1816">
        <v>2</v>
      </c>
      <c r="D1816">
        <v>65.8</v>
      </c>
      <c r="E1816">
        <v>131.6</v>
      </c>
      <c r="F1816" s="1">
        <v>45724</v>
      </c>
      <c r="G1816" s="1">
        <v>45726</v>
      </c>
      <c r="H1816" t="s">
        <v>12</v>
      </c>
      <c r="I1816" t="s">
        <v>3</v>
      </c>
      <c r="J1816">
        <v>1</v>
      </c>
      <c r="K1816" t="s">
        <v>4</v>
      </c>
      <c r="L1816" t="s">
        <v>316</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5">
      <c r="A1817" t="s">
        <v>1902</v>
      </c>
      <c r="B1817" t="s">
        <v>108</v>
      </c>
      <c r="C1817">
        <v>11</v>
      </c>
      <c r="D1817">
        <v>38.700000000000003</v>
      </c>
      <c r="E1817">
        <v>425.70000000000005</v>
      </c>
      <c r="F1817" s="1">
        <v>45724</v>
      </c>
      <c r="G1817" s="1">
        <v>45724</v>
      </c>
      <c r="H1817" t="s">
        <v>8</v>
      </c>
      <c r="I1817" t="s">
        <v>3</v>
      </c>
      <c r="J1817">
        <v>4</v>
      </c>
      <c r="K1817" t="s">
        <v>4</v>
      </c>
      <c r="L1817" t="s">
        <v>132</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5">
      <c r="A1818" t="s">
        <v>1903</v>
      </c>
      <c r="B1818" t="s">
        <v>15</v>
      </c>
      <c r="C1818">
        <v>4</v>
      </c>
      <c r="D1818">
        <v>55.7</v>
      </c>
      <c r="E1818">
        <v>222.8</v>
      </c>
      <c r="F1818" s="1">
        <v>45724</v>
      </c>
      <c r="G1818" s="1">
        <v>45726</v>
      </c>
      <c r="H1818" t="s">
        <v>74</v>
      </c>
      <c r="I1818" t="s">
        <v>3</v>
      </c>
      <c r="J1818">
        <v>3</v>
      </c>
      <c r="K1818" t="s">
        <v>4</v>
      </c>
      <c r="L1818" t="s">
        <v>132</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5">
      <c r="A1819" t="s">
        <v>1904</v>
      </c>
      <c r="B1819" t="s">
        <v>27</v>
      </c>
      <c r="C1819">
        <v>2</v>
      </c>
      <c r="D1819">
        <v>102.4</v>
      </c>
      <c r="E1819">
        <v>204.8</v>
      </c>
      <c r="F1819" s="1">
        <v>45724</v>
      </c>
      <c r="G1819" s="1">
        <v>45724</v>
      </c>
      <c r="H1819" t="s">
        <v>12</v>
      </c>
      <c r="I1819" t="s">
        <v>20</v>
      </c>
      <c r="J1819">
        <v>4</v>
      </c>
      <c r="K1819" t="s">
        <v>4</v>
      </c>
      <c r="L1819" t="s">
        <v>18</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5">
      <c r="A1820" t="s">
        <v>1905</v>
      </c>
      <c r="B1820" t="s">
        <v>7</v>
      </c>
      <c r="C1820">
        <v>1</v>
      </c>
      <c r="D1820">
        <v>92</v>
      </c>
      <c r="E1820">
        <v>92</v>
      </c>
      <c r="F1820" s="1">
        <v>45724</v>
      </c>
      <c r="G1820" s="1">
        <v>45728</v>
      </c>
      <c r="H1820" t="s">
        <v>2</v>
      </c>
      <c r="I1820" t="s">
        <v>25</v>
      </c>
      <c r="J1820">
        <v>4</v>
      </c>
      <c r="K1820" t="s">
        <v>4</v>
      </c>
      <c r="L1820" t="s">
        <v>18</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5">
      <c r="A1821" t="s">
        <v>1906</v>
      </c>
      <c r="B1821" t="s">
        <v>24</v>
      </c>
      <c r="C1821">
        <v>4</v>
      </c>
      <c r="D1821">
        <v>75.900000000000006</v>
      </c>
      <c r="E1821">
        <v>303.60000000000002</v>
      </c>
      <c r="F1821" s="1">
        <v>45724</v>
      </c>
      <c r="G1821" s="1">
        <v>45726</v>
      </c>
      <c r="H1821" t="s">
        <v>12</v>
      </c>
      <c r="I1821" t="s">
        <v>20</v>
      </c>
      <c r="J1821">
        <v>4</v>
      </c>
      <c r="K1821" t="s">
        <v>4</v>
      </c>
      <c r="L1821" t="s">
        <v>18</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5">
      <c r="A1822" t="s">
        <v>1907</v>
      </c>
      <c r="B1822" t="s">
        <v>7</v>
      </c>
      <c r="C1822">
        <v>4</v>
      </c>
      <c r="D1822">
        <v>36.200000000000003</v>
      </c>
      <c r="E1822">
        <v>144.80000000000001</v>
      </c>
      <c r="F1822" s="1">
        <v>45724</v>
      </c>
      <c r="G1822" s="1">
        <v>45725</v>
      </c>
      <c r="H1822" t="s">
        <v>12</v>
      </c>
      <c r="I1822" t="s">
        <v>20</v>
      </c>
      <c r="J1822">
        <v>4</v>
      </c>
      <c r="K1822" t="s">
        <v>4</v>
      </c>
      <c r="L1822" t="s">
        <v>18</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5">
      <c r="A1823" t="s">
        <v>1908</v>
      </c>
      <c r="B1823" t="s">
        <v>24</v>
      </c>
      <c r="C1823">
        <v>87</v>
      </c>
      <c r="D1823">
        <v>83.5</v>
      </c>
      <c r="E1823">
        <v>7264.5</v>
      </c>
      <c r="F1823" s="1">
        <v>45724</v>
      </c>
      <c r="G1823" s="1">
        <v>45726</v>
      </c>
      <c r="H1823" t="s">
        <v>2</v>
      </c>
      <c r="I1823" t="s">
        <v>36</v>
      </c>
      <c r="J1823">
        <v>4</v>
      </c>
      <c r="K1823" t="s">
        <v>4</v>
      </c>
      <c r="L1823" t="s">
        <v>18</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5">
      <c r="A1824" t="s">
        <v>1909</v>
      </c>
      <c r="B1824" t="s">
        <v>156</v>
      </c>
      <c r="C1824">
        <v>12</v>
      </c>
      <c r="D1824">
        <v>52.4</v>
      </c>
      <c r="E1824">
        <v>628.79999999999995</v>
      </c>
      <c r="F1824" s="1">
        <v>45724</v>
      </c>
      <c r="G1824" s="1">
        <v>45724</v>
      </c>
      <c r="H1824" t="s">
        <v>8</v>
      </c>
      <c r="I1824" t="s">
        <v>25</v>
      </c>
      <c r="J1824">
        <v>4</v>
      </c>
      <c r="K1824" t="s">
        <v>4</v>
      </c>
      <c r="L1824" t="s">
        <v>18</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5">
      <c r="A1825" t="s">
        <v>1910</v>
      </c>
      <c r="B1825" t="s">
        <v>54</v>
      </c>
      <c r="C1825">
        <v>3</v>
      </c>
      <c r="D1825">
        <v>69.5</v>
      </c>
      <c r="E1825">
        <v>208.5</v>
      </c>
      <c r="F1825" s="1">
        <v>45724</v>
      </c>
      <c r="G1825" s="1">
        <v>45725</v>
      </c>
      <c r="H1825" t="s">
        <v>74</v>
      </c>
      <c r="I1825" t="s">
        <v>55</v>
      </c>
      <c r="J1825">
        <v>4</v>
      </c>
      <c r="K1825" t="s">
        <v>4</v>
      </c>
      <c r="L1825" t="s">
        <v>18</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5">
      <c r="A1826" t="s">
        <v>1911</v>
      </c>
      <c r="B1826" t="s">
        <v>1</v>
      </c>
      <c r="C1826">
        <v>1</v>
      </c>
      <c r="D1826">
        <v>15.5</v>
      </c>
      <c r="E1826">
        <v>15.5</v>
      </c>
      <c r="F1826" s="1">
        <v>45724</v>
      </c>
      <c r="G1826" s="1">
        <v>45726</v>
      </c>
      <c r="H1826" t="s">
        <v>8</v>
      </c>
      <c r="I1826" t="s">
        <v>3</v>
      </c>
      <c r="J1826">
        <v>4</v>
      </c>
      <c r="K1826" t="s">
        <v>4</v>
      </c>
      <c r="L1826" t="s">
        <v>18</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5">
      <c r="A1827" t="s">
        <v>1912</v>
      </c>
      <c r="B1827" t="s">
        <v>17</v>
      </c>
      <c r="C1827">
        <v>4</v>
      </c>
      <c r="D1827">
        <v>35.200000000000003</v>
      </c>
      <c r="E1827">
        <v>140.80000000000001</v>
      </c>
      <c r="F1827" s="1">
        <v>45724</v>
      </c>
      <c r="G1827" s="1">
        <v>45725</v>
      </c>
      <c r="H1827" t="s">
        <v>12</v>
      </c>
      <c r="I1827" t="s">
        <v>25</v>
      </c>
      <c r="J1827">
        <v>5</v>
      </c>
      <c r="K1827" t="s">
        <v>4</v>
      </c>
      <c r="L1827" t="s">
        <v>18</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5">
      <c r="A1828" t="s">
        <v>1913</v>
      </c>
      <c r="B1828" t="s">
        <v>29</v>
      </c>
      <c r="C1828">
        <v>6</v>
      </c>
      <c r="D1828">
        <v>34.6</v>
      </c>
      <c r="E1828">
        <v>207.60000000000002</v>
      </c>
      <c r="F1828" s="1">
        <v>45724</v>
      </c>
      <c r="G1828" s="1">
        <v>45725</v>
      </c>
      <c r="H1828" t="s">
        <v>2</v>
      </c>
      <c r="I1828" t="s">
        <v>3</v>
      </c>
      <c r="J1828">
        <v>3</v>
      </c>
      <c r="K1828" t="s">
        <v>4</v>
      </c>
      <c r="L1828" t="s">
        <v>18</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5">
      <c r="A1829" t="s">
        <v>1914</v>
      </c>
      <c r="B1829" t="s">
        <v>17</v>
      </c>
      <c r="C1829">
        <v>1</v>
      </c>
      <c r="D1829">
        <v>21.3</v>
      </c>
      <c r="E1829">
        <v>21.3</v>
      </c>
      <c r="F1829" s="1">
        <v>45725</v>
      </c>
      <c r="G1829" s="1">
        <v>45726</v>
      </c>
      <c r="H1829" t="s">
        <v>8</v>
      </c>
      <c r="I1829" t="s">
        <v>25</v>
      </c>
      <c r="J1829">
        <v>3</v>
      </c>
      <c r="K1829" t="s">
        <v>4</v>
      </c>
      <c r="L1829" t="s">
        <v>18</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5">
      <c r="A1830" t="s">
        <v>1915</v>
      </c>
      <c r="B1830" t="s">
        <v>24</v>
      </c>
      <c r="C1830">
        <v>2</v>
      </c>
      <c r="D1830">
        <v>136.5</v>
      </c>
      <c r="E1830">
        <v>273</v>
      </c>
      <c r="F1830" s="1">
        <v>45725</v>
      </c>
      <c r="G1830" s="1">
        <v>45731</v>
      </c>
      <c r="H1830" t="s">
        <v>12</v>
      </c>
      <c r="I1830" t="s">
        <v>3</v>
      </c>
      <c r="J1830">
        <v>4</v>
      </c>
      <c r="K1830" t="s">
        <v>4</v>
      </c>
      <c r="L1830" t="s">
        <v>349</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5">
      <c r="A1831" t="s">
        <v>1916</v>
      </c>
      <c r="B1831" t="s">
        <v>31</v>
      </c>
      <c r="C1831">
        <v>7</v>
      </c>
      <c r="D1831">
        <v>30.7</v>
      </c>
      <c r="E1831">
        <v>214.9</v>
      </c>
      <c r="F1831" s="1">
        <v>45725</v>
      </c>
      <c r="G1831" s="1">
        <v>45726</v>
      </c>
      <c r="H1831" t="s">
        <v>8</v>
      </c>
      <c r="I1831" t="s">
        <v>25</v>
      </c>
      <c r="J1831">
        <v>5</v>
      </c>
      <c r="K1831" t="s">
        <v>4</v>
      </c>
      <c r="L1831" t="s">
        <v>173</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5">
      <c r="A1832" t="s">
        <v>1917</v>
      </c>
      <c r="B1832" t="s">
        <v>7</v>
      </c>
      <c r="C1832">
        <v>2</v>
      </c>
      <c r="D1832">
        <v>61.6</v>
      </c>
      <c r="E1832">
        <v>123.2</v>
      </c>
      <c r="F1832" s="1">
        <v>45725</v>
      </c>
      <c r="G1832" s="1">
        <v>45726</v>
      </c>
      <c r="H1832" t="s">
        <v>12</v>
      </c>
      <c r="I1832" t="s">
        <v>25</v>
      </c>
      <c r="J1832">
        <v>5</v>
      </c>
      <c r="K1832" t="s">
        <v>4</v>
      </c>
      <c r="L1832" t="s">
        <v>143</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5">
      <c r="A1833" t="s">
        <v>1918</v>
      </c>
      <c r="B1833" t="s">
        <v>24</v>
      </c>
      <c r="C1833">
        <v>4</v>
      </c>
      <c r="D1833">
        <v>54.3</v>
      </c>
      <c r="E1833">
        <v>217.2</v>
      </c>
      <c r="F1833" s="1">
        <v>45725</v>
      </c>
      <c r="G1833" s="1">
        <v>45727</v>
      </c>
      <c r="H1833" t="s">
        <v>2</v>
      </c>
      <c r="I1833" t="s">
        <v>55</v>
      </c>
      <c r="J1833">
        <v>4</v>
      </c>
      <c r="K1833" t="s">
        <v>4</v>
      </c>
      <c r="L1833" t="s">
        <v>44</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5">
      <c r="A1834" t="s">
        <v>1919</v>
      </c>
      <c r="B1834" t="s">
        <v>7</v>
      </c>
      <c r="C1834">
        <v>2</v>
      </c>
      <c r="D1834">
        <v>44.1</v>
      </c>
      <c r="E1834">
        <v>88.2</v>
      </c>
      <c r="F1834" s="1">
        <v>45725</v>
      </c>
      <c r="G1834" s="1">
        <v>45737</v>
      </c>
      <c r="H1834" t="s">
        <v>12</v>
      </c>
      <c r="I1834" t="s">
        <v>3</v>
      </c>
      <c r="J1834">
        <v>5</v>
      </c>
      <c r="K1834" t="s">
        <v>4</v>
      </c>
      <c r="L1834" t="s">
        <v>47</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5">
      <c r="A1835" t="s">
        <v>1920</v>
      </c>
      <c r="B1835" t="s">
        <v>29</v>
      </c>
      <c r="C1835">
        <v>4</v>
      </c>
      <c r="D1835">
        <v>43.5</v>
      </c>
      <c r="E1835">
        <v>174</v>
      </c>
      <c r="F1835" s="1">
        <v>45725</v>
      </c>
      <c r="G1835" s="1">
        <v>45731</v>
      </c>
      <c r="H1835" t="s">
        <v>8</v>
      </c>
      <c r="I1835" t="s">
        <v>36</v>
      </c>
      <c r="J1835">
        <v>4</v>
      </c>
      <c r="K1835" t="s">
        <v>4</v>
      </c>
      <c r="L1835" t="s">
        <v>47</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5">
      <c r="A1836" t="s">
        <v>1921</v>
      </c>
      <c r="B1836" t="s">
        <v>29</v>
      </c>
      <c r="C1836">
        <v>3</v>
      </c>
      <c r="D1836">
        <v>48.2</v>
      </c>
      <c r="E1836">
        <v>144.60000000000002</v>
      </c>
      <c r="F1836" s="1">
        <v>45725</v>
      </c>
      <c r="G1836" s="1">
        <v>45729</v>
      </c>
      <c r="H1836" t="s">
        <v>8</v>
      </c>
      <c r="I1836" t="s">
        <v>36</v>
      </c>
      <c r="J1836">
        <v>3</v>
      </c>
      <c r="K1836" t="s">
        <v>4</v>
      </c>
      <c r="L1836" t="s">
        <v>47</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5">
      <c r="A1837" t="s">
        <v>1922</v>
      </c>
      <c r="B1837" t="s">
        <v>156</v>
      </c>
      <c r="C1837">
        <v>1</v>
      </c>
      <c r="D1837">
        <v>13.7</v>
      </c>
      <c r="E1837">
        <v>13.7</v>
      </c>
      <c r="F1837" s="1">
        <v>45725</v>
      </c>
      <c r="G1837" s="1">
        <v>45726</v>
      </c>
      <c r="H1837" t="s">
        <v>12</v>
      </c>
      <c r="I1837" t="s">
        <v>25</v>
      </c>
      <c r="J1837">
        <v>5</v>
      </c>
      <c r="K1837" t="s">
        <v>4</v>
      </c>
      <c r="L1837" t="s">
        <v>47</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5">
      <c r="A1838" t="s">
        <v>1923</v>
      </c>
      <c r="B1838" t="s">
        <v>11</v>
      </c>
      <c r="C1838">
        <v>2</v>
      </c>
      <c r="D1838">
        <v>110.5</v>
      </c>
      <c r="E1838">
        <v>221</v>
      </c>
      <c r="F1838" s="1">
        <v>45725</v>
      </c>
      <c r="G1838" s="1">
        <v>45726</v>
      </c>
      <c r="H1838" t="s">
        <v>12</v>
      </c>
      <c r="I1838" t="s">
        <v>3</v>
      </c>
      <c r="J1838">
        <v>3</v>
      </c>
      <c r="K1838" t="s">
        <v>4</v>
      </c>
      <c r="L1838" t="s">
        <v>47</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5">
      <c r="A1839" t="s">
        <v>1924</v>
      </c>
      <c r="B1839" t="s">
        <v>29</v>
      </c>
      <c r="C1839">
        <v>3</v>
      </c>
      <c r="D1839">
        <v>26</v>
      </c>
      <c r="E1839">
        <v>78</v>
      </c>
      <c r="F1839" s="1">
        <v>45725</v>
      </c>
      <c r="G1839" s="1">
        <v>45730</v>
      </c>
      <c r="H1839" t="s">
        <v>12</v>
      </c>
      <c r="I1839" t="s">
        <v>20</v>
      </c>
      <c r="J1839">
        <v>3</v>
      </c>
      <c r="K1839" t="s">
        <v>4</v>
      </c>
      <c r="L1839" t="s">
        <v>47</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5">
      <c r="A1840" t="s">
        <v>1925</v>
      </c>
      <c r="B1840" t="s">
        <v>11</v>
      </c>
      <c r="C1840">
        <v>10</v>
      </c>
      <c r="D1840">
        <v>140.69999999999999</v>
      </c>
      <c r="E1840">
        <v>1407</v>
      </c>
      <c r="F1840" s="1">
        <v>45725</v>
      </c>
      <c r="G1840" s="1">
        <v>45731</v>
      </c>
      <c r="H1840" t="s">
        <v>8</v>
      </c>
      <c r="I1840" t="s">
        <v>36</v>
      </c>
      <c r="J1840">
        <v>3</v>
      </c>
      <c r="K1840" t="s">
        <v>4</v>
      </c>
      <c r="L1840" t="s">
        <v>47</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5">
      <c r="A1841" t="s">
        <v>1926</v>
      </c>
      <c r="B1841" t="s">
        <v>120</v>
      </c>
      <c r="C1841">
        <v>2</v>
      </c>
      <c r="D1841">
        <v>41.7</v>
      </c>
      <c r="E1841">
        <v>83.4</v>
      </c>
      <c r="F1841" s="1">
        <v>45725</v>
      </c>
      <c r="G1841" s="1">
        <v>45733</v>
      </c>
      <c r="H1841" t="s">
        <v>12</v>
      </c>
      <c r="I1841" t="s">
        <v>3</v>
      </c>
      <c r="J1841">
        <v>2</v>
      </c>
      <c r="K1841" t="s">
        <v>4</v>
      </c>
      <c r="L1841" t="s">
        <v>47</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5">
      <c r="A1842" t="s">
        <v>1927</v>
      </c>
      <c r="B1842" t="s">
        <v>11</v>
      </c>
      <c r="C1842">
        <v>2</v>
      </c>
      <c r="D1842">
        <v>135.1</v>
      </c>
      <c r="E1842">
        <v>270.2</v>
      </c>
      <c r="F1842" s="1">
        <v>45725</v>
      </c>
      <c r="G1842" s="1">
        <v>45726</v>
      </c>
      <c r="H1842" t="s">
        <v>8</v>
      </c>
      <c r="I1842" t="s">
        <v>3</v>
      </c>
      <c r="J1842">
        <v>5</v>
      </c>
      <c r="K1842" t="s">
        <v>4</v>
      </c>
      <c r="L1842" t="s">
        <v>88</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5">
      <c r="A1843" t="s">
        <v>1928</v>
      </c>
      <c r="B1843" t="s">
        <v>54</v>
      </c>
      <c r="C1843">
        <v>22</v>
      </c>
      <c r="D1843">
        <v>95.5</v>
      </c>
      <c r="E1843">
        <v>2101</v>
      </c>
      <c r="F1843" s="1">
        <v>45725</v>
      </c>
      <c r="G1843" s="1">
        <v>45726</v>
      </c>
      <c r="H1843" t="s">
        <v>12</v>
      </c>
      <c r="I1843" t="s">
        <v>55</v>
      </c>
      <c r="J1843">
        <v>2</v>
      </c>
      <c r="K1843" t="s">
        <v>4</v>
      </c>
      <c r="L1843" t="s">
        <v>186</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5">
      <c r="A1844" t="s">
        <v>1929</v>
      </c>
      <c r="B1844" t="s">
        <v>108</v>
      </c>
      <c r="C1844">
        <v>1</v>
      </c>
      <c r="D1844">
        <v>25.5</v>
      </c>
      <c r="E1844">
        <v>25.5</v>
      </c>
      <c r="F1844" s="1">
        <v>45725</v>
      </c>
      <c r="G1844" s="1">
        <v>45728</v>
      </c>
      <c r="H1844" t="s">
        <v>2</v>
      </c>
      <c r="I1844" t="s">
        <v>25</v>
      </c>
      <c r="J1844">
        <v>5</v>
      </c>
      <c r="K1844" t="s">
        <v>4</v>
      </c>
      <c r="L1844" t="s">
        <v>62</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5">
      <c r="A1845" t="s">
        <v>1930</v>
      </c>
      <c r="B1845" t="s">
        <v>7</v>
      </c>
      <c r="C1845">
        <v>1</v>
      </c>
      <c r="D1845">
        <v>42.6</v>
      </c>
      <c r="E1845">
        <v>42.6</v>
      </c>
      <c r="F1845" s="1">
        <v>45725</v>
      </c>
      <c r="G1845" s="1">
        <v>45729</v>
      </c>
      <c r="H1845" t="s">
        <v>12</v>
      </c>
      <c r="I1845" t="s">
        <v>3</v>
      </c>
      <c r="J1845">
        <v>4</v>
      </c>
      <c r="K1845" t="s">
        <v>4</v>
      </c>
      <c r="L1845" t="s">
        <v>62</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5">
      <c r="A1846" t="s">
        <v>1931</v>
      </c>
      <c r="B1846" t="s">
        <v>29</v>
      </c>
      <c r="C1846">
        <v>15</v>
      </c>
      <c r="D1846">
        <v>32.4</v>
      </c>
      <c r="E1846">
        <v>486</v>
      </c>
      <c r="F1846" s="1">
        <v>45725</v>
      </c>
      <c r="G1846" s="1">
        <v>45726</v>
      </c>
      <c r="H1846" t="s">
        <v>8</v>
      </c>
      <c r="I1846" t="s">
        <v>20</v>
      </c>
      <c r="J1846">
        <v>3</v>
      </c>
      <c r="K1846" t="s">
        <v>4</v>
      </c>
      <c r="L1846" t="s">
        <v>62</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5">
      <c r="A1847" t="s">
        <v>1932</v>
      </c>
      <c r="B1847" t="s">
        <v>17</v>
      </c>
      <c r="C1847">
        <v>4</v>
      </c>
      <c r="D1847">
        <v>20.2</v>
      </c>
      <c r="E1847">
        <v>80.8</v>
      </c>
      <c r="F1847" s="1">
        <v>45725</v>
      </c>
      <c r="G1847" s="1">
        <v>45726</v>
      </c>
      <c r="H1847" t="s">
        <v>74</v>
      </c>
      <c r="I1847" t="s">
        <v>25</v>
      </c>
      <c r="J1847">
        <v>4</v>
      </c>
      <c r="K1847" t="s">
        <v>4</v>
      </c>
      <c r="L1847" t="s">
        <v>62</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5">
      <c r="A1848" t="s">
        <v>1933</v>
      </c>
      <c r="B1848" t="s">
        <v>113</v>
      </c>
      <c r="C1848">
        <v>3</v>
      </c>
      <c r="D1848">
        <v>52.5</v>
      </c>
      <c r="E1848">
        <v>157.5</v>
      </c>
      <c r="F1848" s="1">
        <v>45725</v>
      </c>
      <c r="G1848" s="1">
        <v>45730</v>
      </c>
      <c r="H1848" t="s">
        <v>12</v>
      </c>
      <c r="I1848" t="s">
        <v>55</v>
      </c>
      <c r="J1848">
        <v>4</v>
      </c>
      <c r="K1848" t="s">
        <v>4</v>
      </c>
      <c r="L1848" t="s">
        <v>93</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5">
      <c r="A1849" t="s">
        <v>1934</v>
      </c>
      <c r="B1849" t="s">
        <v>11</v>
      </c>
      <c r="C1849">
        <v>5</v>
      </c>
      <c r="D1849">
        <v>59.9</v>
      </c>
      <c r="E1849">
        <v>299.5</v>
      </c>
      <c r="F1849" s="1">
        <v>45725</v>
      </c>
      <c r="G1849" s="1">
        <v>45727</v>
      </c>
      <c r="H1849" t="s">
        <v>12</v>
      </c>
      <c r="I1849" t="s">
        <v>25</v>
      </c>
      <c r="J1849">
        <v>4</v>
      </c>
      <c r="K1849" t="s">
        <v>4</v>
      </c>
      <c r="L1849" t="s">
        <v>95</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5">
      <c r="A1850" t="s">
        <v>1935</v>
      </c>
      <c r="B1850" t="s">
        <v>17</v>
      </c>
      <c r="C1850">
        <v>2</v>
      </c>
      <c r="D1850">
        <v>53.2</v>
      </c>
      <c r="E1850">
        <v>106.4</v>
      </c>
      <c r="F1850" s="1">
        <v>45725</v>
      </c>
      <c r="G1850" s="1">
        <v>45726</v>
      </c>
      <c r="H1850" t="s">
        <v>12</v>
      </c>
      <c r="I1850" t="s">
        <v>20</v>
      </c>
      <c r="J1850">
        <v>1</v>
      </c>
      <c r="K1850" t="s">
        <v>4</v>
      </c>
      <c r="L1850" t="s">
        <v>98</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5">
      <c r="A1851" t="s">
        <v>1936</v>
      </c>
      <c r="B1851" t="s">
        <v>11</v>
      </c>
      <c r="C1851">
        <v>2</v>
      </c>
      <c r="D1851">
        <v>60</v>
      </c>
      <c r="E1851">
        <v>120</v>
      </c>
      <c r="F1851" s="1">
        <v>45725</v>
      </c>
      <c r="G1851" s="1">
        <v>45731</v>
      </c>
      <c r="H1851" t="s">
        <v>8</v>
      </c>
      <c r="I1851" t="s">
        <v>20</v>
      </c>
      <c r="J1851">
        <v>5</v>
      </c>
      <c r="K1851" t="s">
        <v>4</v>
      </c>
      <c r="L1851" t="s">
        <v>98</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5">
      <c r="A1852" t="s">
        <v>1937</v>
      </c>
      <c r="B1852" t="s">
        <v>29</v>
      </c>
      <c r="C1852">
        <v>3</v>
      </c>
      <c r="D1852">
        <v>29.3</v>
      </c>
      <c r="E1852">
        <v>87.9</v>
      </c>
      <c r="F1852" s="1">
        <v>45725</v>
      </c>
      <c r="G1852" s="1">
        <v>45726</v>
      </c>
      <c r="H1852" t="s">
        <v>12</v>
      </c>
      <c r="I1852" t="s">
        <v>55</v>
      </c>
      <c r="J1852">
        <v>4</v>
      </c>
      <c r="K1852" t="s">
        <v>4</v>
      </c>
      <c r="L1852" t="s">
        <v>67</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5">
      <c r="A1853" t="s">
        <v>1938</v>
      </c>
      <c r="B1853" t="s">
        <v>54</v>
      </c>
      <c r="C1853">
        <v>2</v>
      </c>
      <c r="D1853">
        <v>55.4</v>
      </c>
      <c r="E1853">
        <v>110.8</v>
      </c>
      <c r="F1853" s="1">
        <v>45725</v>
      </c>
      <c r="G1853" s="1">
        <v>45726</v>
      </c>
      <c r="H1853" t="s">
        <v>12</v>
      </c>
      <c r="I1853" t="s">
        <v>3</v>
      </c>
      <c r="J1853">
        <v>5</v>
      </c>
      <c r="K1853" t="s">
        <v>4</v>
      </c>
      <c r="L1853" t="s">
        <v>100</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5">
      <c r="A1854" t="s">
        <v>1939</v>
      </c>
      <c r="B1854" t="s">
        <v>1</v>
      </c>
      <c r="C1854">
        <v>5</v>
      </c>
      <c r="D1854">
        <v>20.100000000000001</v>
      </c>
      <c r="E1854">
        <v>100.5</v>
      </c>
      <c r="F1854" s="1">
        <v>45725</v>
      </c>
      <c r="G1854" s="1">
        <v>45727</v>
      </c>
      <c r="H1854" t="s">
        <v>12</v>
      </c>
      <c r="I1854" t="s">
        <v>20</v>
      </c>
      <c r="J1854">
        <v>5</v>
      </c>
      <c r="K1854" t="s">
        <v>4</v>
      </c>
      <c r="L1854" t="s">
        <v>100</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5">
      <c r="A1855" t="s">
        <v>1940</v>
      </c>
      <c r="B1855" t="s">
        <v>66</v>
      </c>
      <c r="C1855">
        <v>5</v>
      </c>
      <c r="D1855">
        <v>24</v>
      </c>
      <c r="E1855">
        <v>120</v>
      </c>
      <c r="F1855" s="1">
        <v>45725</v>
      </c>
      <c r="G1855" s="1">
        <v>45728</v>
      </c>
      <c r="H1855" t="s">
        <v>8</v>
      </c>
      <c r="I1855" t="s">
        <v>25</v>
      </c>
      <c r="J1855">
        <v>4</v>
      </c>
      <c r="K1855" t="s">
        <v>4</v>
      </c>
      <c r="L1855" t="s">
        <v>9</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5">
      <c r="A1856" t="s">
        <v>1941</v>
      </c>
      <c r="B1856" t="s">
        <v>29</v>
      </c>
      <c r="C1856">
        <v>2</v>
      </c>
      <c r="D1856">
        <v>30.6</v>
      </c>
      <c r="E1856">
        <v>61.2</v>
      </c>
      <c r="F1856" s="1">
        <v>45726</v>
      </c>
      <c r="G1856" s="1">
        <v>45728</v>
      </c>
      <c r="H1856" t="s">
        <v>12</v>
      </c>
      <c r="I1856" t="s">
        <v>3</v>
      </c>
      <c r="J1856">
        <v>4</v>
      </c>
      <c r="K1856" t="s">
        <v>4</v>
      </c>
      <c r="L1856" t="s">
        <v>9</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5">
      <c r="A1857" t="s">
        <v>1942</v>
      </c>
      <c r="B1857" t="s">
        <v>39</v>
      </c>
      <c r="C1857">
        <v>5</v>
      </c>
      <c r="D1857">
        <v>33</v>
      </c>
      <c r="E1857">
        <v>165</v>
      </c>
      <c r="F1857" s="1">
        <v>45726</v>
      </c>
      <c r="G1857" s="1">
        <v>45727</v>
      </c>
      <c r="H1857" t="s">
        <v>8</v>
      </c>
      <c r="I1857" t="s">
        <v>20</v>
      </c>
      <c r="J1857">
        <v>3</v>
      </c>
      <c r="K1857" t="s">
        <v>4</v>
      </c>
      <c r="L1857" t="s">
        <v>193</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5">
      <c r="A1858" t="s">
        <v>1943</v>
      </c>
      <c r="B1858" t="s">
        <v>120</v>
      </c>
      <c r="C1858">
        <v>9</v>
      </c>
      <c r="D1858">
        <v>42.1</v>
      </c>
      <c r="E1858">
        <v>378.90000000000003</v>
      </c>
      <c r="F1858" s="1">
        <v>45726</v>
      </c>
      <c r="G1858" s="1">
        <v>45732</v>
      </c>
      <c r="H1858" t="s">
        <v>12</v>
      </c>
      <c r="I1858" t="s">
        <v>25</v>
      </c>
      <c r="J1858">
        <v>4</v>
      </c>
      <c r="K1858" t="s">
        <v>4</v>
      </c>
      <c r="L1858" t="s">
        <v>572</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5">
      <c r="A1859" t="s">
        <v>1944</v>
      </c>
      <c r="B1859" t="s">
        <v>24</v>
      </c>
      <c r="C1859">
        <v>7</v>
      </c>
      <c r="D1859">
        <v>77.7</v>
      </c>
      <c r="E1859">
        <v>543.9</v>
      </c>
      <c r="F1859" s="1">
        <v>45726</v>
      </c>
      <c r="G1859" s="1">
        <v>45731</v>
      </c>
      <c r="H1859" t="s">
        <v>12</v>
      </c>
      <c r="I1859" t="s">
        <v>20</v>
      </c>
      <c r="J1859">
        <v>5</v>
      </c>
      <c r="K1859" t="s">
        <v>4</v>
      </c>
      <c r="L1859" t="s">
        <v>934</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5">
      <c r="A1860" t="s">
        <v>1945</v>
      </c>
      <c r="B1860" t="s">
        <v>120</v>
      </c>
      <c r="C1860">
        <v>6</v>
      </c>
      <c r="D1860">
        <v>22.7</v>
      </c>
      <c r="E1860">
        <v>136.19999999999999</v>
      </c>
      <c r="F1860" s="1">
        <v>45726</v>
      </c>
      <c r="G1860" s="1">
        <v>45729</v>
      </c>
      <c r="H1860" t="s">
        <v>12</v>
      </c>
      <c r="I1860" t="s">
        <v>25</v>
      </c>
      <c r="J1860">
        <v>4</v>
      </c>
      <c r="K1860" t="s">
        <v>4</v>
      </c>
      <c r="L1860" t="s">
        <v>18</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5">
      <c r="A1861" t="s">
        <v>1946</v>
      </c>
      <c r="B1861" t="s">
        <v>11</v>
      </c>
      <c r="C1861">
        <v>2</v>
      </c>
      <c r="D1861">
        <v>133</v>
      </c>
      <c r="E1861">
        <v>266</v>
      </c>
      <c r="F1861" s="1">
        <v>45726</v>
      </c>
      <c r="G1861" s="1">
        <v>45726</v>
      </c>
      <c r="H1861" t="s">
        <v>8</v>
      </c>
      <c r="I1861" t="s">
        <v>25</v>
      </c>
      <c r="J1861">
        <v>5</v>
      </c>
      <c r="K1861" t="s">
        <v>4</v>
      </c>
      <c r="L1861" t="s">
        <v>18</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5">
      <c r="A1862" t="s">
        <v>1947</v>
      </c>
      <c r="B1862" t="s">
        <v>1</v>
      </c>
      <c r="C1862">
        <v>2</v>
      </c>
      <c r="D1862">
        <v>23.3</v>
      </c>
      <c r="E1862">
        <v>46.6</v>
      </c>
      <c r="F1862" s="1">
        <v>45726</v>
      </c>
      <c r="G1862" s="1">
        <v>45727</v>
      </c>
      <c r="H1862" t="s">
        <v>8</v>
      </c>
      <c r="I1862" t="s">
        <v>20</v>
      </c>
      <c r="J1862">
        <v>5</v>
      </c>
      <c r="K1862" t="s">
        <v>4</v>
      </c>
      <c r="L1862" t="s">
        <v>18</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5">
      <c r="A1863" t="s">
        <v>1948</v>
      </c>
      <c r="B1863" t="s">
        <v>29</v>
      </c>
      <c r="C1863">
        <v>3</v>
      </c>
      <c r="D1863">
        <v>20.7</v>
      </c>
      <c r="E1863">
        <v>62.099999999999994</v>
      </c>
      <c r="F1863" s="1">
        <v>45726</v>
      </c>
      <c r="G1863" s="1">
        <v>45728</v>
      </c>
      <c r="H1863" t="s">
        <v>74</v>
      </c>
      <c r="I1863" t="s">
        <v>3</v>
      </c>
      <c r="J1863">
        <v>5</v>
      </c>
      <c r="K1863" t="s">
        <v>4</v>
      </c>
      <c r="L1863" t="s">
        <v>18</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5">
      <c r="A1864" t="s">
        <v>1949</v>
      </c>
      <c r="B1864" t="s">
        <v>54</v>
      </c>
      <c r="C1864">
        <v>2</v>
      </c>
      <c r="D1864">
        <v>47</v>
      </c>
      <c r="E1864">
        <v>94</v>
      </c>
      <c r="F1864" s="1">
        <v>45726</v>
      </c>
      <c r="G1864" s="1">
        <v>45727</v>
      </c>
      <c r="H1864" t="s">
        <v>8</v>
      </c>
      <c r="I1864" t="s">
        <v>20</v>
      </c>
      <c r="J1864">
        <v>5</v>
      </c>
      <c r="K1864" t="s">
        <v>4</v>
      </c>
      <c r="L1864" t="s">
        <v>18</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5">
      <c r="A1865" t="s">
        <v>1950</v>
      </c>
      <c r="B1865" t="s">
        <v>54</v>
      </c>
      <c r="C1865">
        <v>3</v>
      </c>
      <c r="D1865">
        <v>38.200000000000003</v>
      </c>
      <c r="E1865">
        <v>114.60000000000001</v>
      </c>
      <c r="F1865" s="1">
        <v>45726</v>
      </c>
      <c r="G1865" s="1">
        <v>45728</v>
      </c>
      <c r="H1865" t="s">
        <v>12</v>
      </c>
      <c r="I1865" t="s">
        <v>25</v>
      </c>
      <c r="J1865">
        <v>2</v>
      </c>
      <c r="K1865" t="s">
        <v>4</v>
      </c>
      <c r="L1865" t="s">
        <v>18</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5">
      <c r="A1866" t="s">
        <v>1951</v>
      </c>
      <c r="B1866" t="s">
        <v>31</v>
      </c>
      <c r="C1866">
        <v>1</v>
      </c>
      <c r="D1866">
        <v>39.1</v>
      </c>
      <c r="E1866">
        <v>39.1</v>
      </c>
      <c r="F1866" s="1">
        <v>45726</v>
      </c>
      <c r="G1866" s="1">
        <v>45728</v>
      </c>
      <c r="H1866" t="s">
        <v>12</v>
      </c>
      <c r="I1866" t="s">
        <v>3</v>
      </c>
      <c r="J1866">
        <v>4</v>
      </c>
      <c r="K1866" t="s">
        <v>4</v>
      </c>
      <c r="L1866" t="s">
        <v>18</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5">
      <c r="A1867" t="s">
        <v>1952</v>
      </c>
      <c r="B1867" t="s">
        <v>27</v>
      </c>
      <c r="C1867">
        <v>25</v>
      </c>
      <c r="D1867">
        <v>55.6</v>
      </c>
      <c r="E1867">
        <v>1390</v>
      </c>
      <c r="F1867" s="1">
        <v>45726</v>
      </c>
      <c r="G1867" s="1">
        <v>45728</v>
      </c>
      <c r="H1867" t="s">
        <v>8</v>
      </c>
      <c r="I1867" t="s">
        <v>3</v>
      </c>
      <c r="J1867">
        <v>5</v>
      </c>
      <c r="K1867" t="s">
        <v>4</v>
      </c>
      <c r="L1867" t="s">
        <v>18</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5">
      <c r="A1868" t="s">
        <v>1953</v>
      </c>
      <c r="B1868" t="s">
        <v>108</v>
      </c>
      <c r="C1868">
        <v>1</v>
      </c>
      <c r="D1868">
        <v>43.1</v>
      </c>
      <c r="E1868">
        <v>43.1</v>
      </c>
      <c r="F1868" s="1">
        <v>45726</v>
      </c>
      <c r="G1868" s="1">
        <v>45726</v>
      </c>
      <c r="H1868" t="s">
        <v>74</v>
      </c>
      <c r="I1868" t="s">
        <v>20</v>
      </c>
      <c r="J1868">
        <v>5</v>
      </c>
      <c r="K1868" t="s">
        <v>4</v>
      </c>
      <c r="L1868" t="s">
        <v>18</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5">
      <c r="A1869" t="s">
        <v>1954</v>
      </c>
      <c r="B1869" t="s">
        <v>24</v>
      </c>
      <c r="C1869">
        <v>4</v>
      </c>
      <c r="D1869">
        <v>48.1</v>
      </c>
      <c r="E1869">
        <v>192.4</v>
      </c>
      <c r="F1869" s="1">
        <v>45726</v>
      </c>
      <c r="G1869" s="1">
        <v>45727</v>
      </c>
      <c r="H1869" t="s">
        <v>12</v>
      </c>
      <c r="I1869" t="s">
        <v>55</v>
      </c>
      <c r="J1869">
        <v>5</v>
      </c>
      <c r="K1869" t="s">
        <v>4</v>
      </c>
      <c r="L1869" t="s">
        <v>18</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5">
      <c r="A1870" t="s">
        <v>1955</v>
      </c>
      <c r="B1870" t="s">
        <v>17</v>
      </c>
      <c r="C1870">
        <v>1</v>
      </c>
      <c r="D1870">
        <v>42</v>
      </c>
      <c r="E1870">
        <v>42</v>
      </c>
      <c r="F1870" s="1">
        <v>45726</v>
      </c>
      <c r="G1870" s="1">
        <v>45727</v>
      </c>
      <c r="H1870" t="s">
        <v>74</v>
      </c>
      <c r="I1870" t="s">
        <v>3</v>
      </c>
      <c r="J1870">
        <v>4</v>
      </c>
      <c r="K1870" t="s">
        <v>4</v>
      </c>
      <c r="L1870" t="s">
        <v>18</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5">
      <c r="A1871" t="s">
        <v>1956</v>
      </c>
      <c r="B1871" t="s">
        <v>29</v>
      </c>
      <c r="C1871">
        <v>5</v>
      </c>
      <c r="D1871">
        <v>18.3</v>
      </c>
      <c r="E1871">
        <v>91.5</v>
      </c>
      <c r="F1871" s="1">
        <v>45726</v>
      </c>
      <c r="G1871" s="1">
        <v>45726</v>
      </c>
      <c r="H1871" t="s">
        <v>12</v>
      </c>
      <c r="I1871" t="s">
        <v>25</v>
      </c>
      <c r="J1871">
        <v>4</v>
      </c>
      <c r="K1871" t="s">
        <v>4</v>
      </c>
      <c r="L1871" t="s">
        <v>18</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5">
      <c r="A1872" t="s">
        <v>1957</v>
      </c>
      <c r="B1872" t="s">
        <v>39</v>
      </c>
      <c r="C1872">
        <v>4</v>
      </c>
      <c r="D1872">
        <v>45.3</v>
      </c>
      <c r="E1872">
        <v>181.2</v>
      </c>
      <c r="F1872" s="1">
        <v>45726</v>
      </c>
      <c r="G1872" s="1">
        <v>45729</v>
      </c>
      <c r="H1872" t="s">
        <v>12</v>
      </c>
      <c r="I1872" t="s">
        <v>3</v>
      </c>
      <c r="J1872">
        <v>5</v>
      </c>
      <c r="K1872" t="s">
        <v>4</v>
      </c>
      <c r="L1872" t="s">
        <v>18</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5">
      <c r="A1873" t="s">
        <v>1958</v>
      </c>
      <c r="B1873" t="s">
        <v>1</v>
      </c>
      <c r="C1873">
        <v>2</v>
      </c>
      <c r="D1873">
        <v>27.6</v>
      </c>
      <c r="E1873">
        <v>55.2</v>
      </c>
      <c r="F1873" s="1">
        <v>45726</v>
      </c>
      <c r="G1873" s="1">
        <v>45728</v>
      </c>
      <c r="H1873" t="s">
        <v>8</v>
      </c>
      <c r="I1873" t="s">
        <v>3</v>
      </c>
      <c r="J1873">
        <v>5</v>
      </c>
      <c r="K1873" t="s">
        <v>4</v>
      </c>
      <c r="L1873" t="s">
        <v>349</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5">
      <c r="A1874" t="s">
        <v>1959</v>
      </c>
      <c r="B1874" t="s">
        <v>17</v>
      </c>
      <c r="C1874">
        <v>5</v>
      </c>
      <c r="D1874">
        <v>26.9</v>
      </c>
      <c r="E1874">
        <v>134.5</v>
      </c>
      <c r="F1874" s="1">
        <v>45726</v>
      </c>
      <c r="G1874" s="1">
        <v>45727</v>
      </c>
      <c r="H1874" t="s">
        <v>12</v>
      </c>
      <c r="I1874" t="s">
        <v>25</v>
      </c>
      <c r="J1874">
        <v>4</v>
      </c>
      <c r="K1874" t="s">
        <v>4</v>
      </c>
      <c r="L1874" t="s">
        <v>173</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5">
      <c r="A1875" t="s">
        <v>1960</v>
      </c>
      <c r="B1875" t="s">
        <v>11</v>
      </c>
      <c r="C1875">
        <v>9</v>
      </c>
      <c r="D1875">
        <v>82.4</v>
      </c>
      <c r="E1875">
        <v>741.6</v>
      </c>
      <c r="F1875" s="1">
        <v>45726</v>
      </c>
      <c r="G1875" s="1">
        <v>45728</v>
      </c>
      <c r="H1875" t="s">
        <v>74</v>
      </c>
      <c r="I1875" t="s">
        <v>25</v>
      </c>
      <c r="J1875">
        <v>4</v>
      </c>
      <c r="K1875" t="s">
        <v>4</v>
      </c>
      <c r="L1875" t="s">
        <v>37</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5">
      <c r="A1876" t="s">
        <v>1961</v>
      </c>
      <c r="B1876" t="s">
        <v>24</v>
      </c>
      <c r="C1876">
        <v>1</v>
      </c>
      <c r="D1876">
        <v>103.7</v>
      </c>
      <c r="E1876">
        <v>103.7</v>
      </c>
      <c r="F1876" s="1">
        <v>45726</v>
      </c>
      <c r="G1876" s="1">
        <v>45728</v>
      </c>
      <c r="H1876" t="s">
        <v>12</v>
      </c>
      <c r="I1876" t="s">
        <v>20</v>
      </c>
      <c r="J1876">
        <v>4</v>
      </c>
      <c r="K1876" t="s">
        <v>4</v>
      </c>
      <c r="L1876" t="s">
        <v>37</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5">
      <c r="A1877" t="s">
        <v>1962</v>
      </c>
      <c r="B1877" t="s">
        <v>11</v>
      </c>
      <c r="C1877">
        <v>2</v>
      </c>
      <c r="D1877">
        <v>58.8</v>
      </c>
      <c r="E1877">
        <v>117.6</v>
      </c>
      <c r="F1877" s="1">
        <v>45726</v>
      </c>
      <c r="G1877" s="1">
        <v>45731</v>
      </c>
      <c r="H1877" t="s">
        <v>12</v>
      </c>
      <c r="I1877" t="s">
        <v>20</v>
      </c>
      <c r="J1877">
        <v>5</v>
      </c>
      <c r="K1877" t="s">
        <v>4</v>
      </c>
      <c r="L1877" t="s">
        <v>40</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5">
      <c r="A1878" t="s">
        <v>1963</v>
      </c>
      <c r="B1878" t="s">
        <v>61</v>
      </c>
      <c r="C1878">
        <v>1</v>
      </c>
      <c r="D1878">
        <v>31.5</v>
      </c>
      <c r="E1878">
        <v>31.5</v>
      </c>
      <c r="F1878" s="1">
        <v>45726</v>
      </c>
      <c r="G1878" s="1">
        <v>45727</v>
      </c>
      <c r="H1878" t="s">
        <v>12</v>
      </c>
      <c r="I1878" t="s">
        <v>20</v>
      </c>
      <c r="J1878">
        <v>3</v>
      </c>
      <c r="K1878" t="s">
        <v>4</v>
      </c>
      <c r="L1878" t="s">
        <v>40</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5">
      <c r="A1879" t="s">
        <v>1964</v>
      </c>
      <c r="B1879" t="s">
        <v>27</v>
      </c>
      <c r="C1879">
        <v>5</v>
      </c>
      <c r="D1879">
        <v>36.799999999999997</v>
      </c>
      <c r="E1879">
        <v>184</v>
      </c>
      <c r="F1879" s="1">
        <v>45726</v>
      </c>
      <c r="G1879" s="1">
        <v>45728</v>
      </c>
      <c r="H1879" t="s">
        <v>12</v>
      </c>
      <c r="I1879" t="s">
        <v>3</v>
      </c>
      <c r="J1879">
        <v>4</v>
      </c>
      <c r="K1879" t="s">
        <v>4</v>
      </c>
      <c r="L1879" t="s">
        <v>47</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5">
      <c r="A1880" t="s">
        <v>1965</v>
      </c>
      <c r="B1880" t="s">
        <v>15</v>
      </c>
      <c r="C1880">
        <v>1</v>
      </c>
      <c r="D1880">
        <v>84.4</v>
      </c>
      <c r="E1880">
        <v>84.4</v>
      </c>
      <c r="F1880" s="1">
        <v>45726</v>
      </c>
      <c r="G1880" s="1">
        <v>45727</v>
      </c>
      <c r="H1880" t="s">
        <v>12</v>
      </c>
      <c r="I1880" t="s">
        <v>3</v>
      </c>
      <c r="J1880">
        <v>4</v>
      </c>
      <c r="K1880" t="s">
        <v>4</v>
      </c>
      <c r="L1880" t="s">
        <v>47</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5">
      <c r="A1881" t="s">
        <v>1966</v>
      </c>
      <c r="B1881" t="s">
        <v>66</v>
      </c>
      <c r="C1881">
        <v>1</v>
      </c>
      <c r="D1881">
        <v>44.7</v>
      </c>
      <c r="E1881">
        <v>44.7</v>
      </c>
      <c r="F1881" s="1">
        <v>45726</v>
      </c>
      <c r="G1881" s="1">
        <v>45727</v>
      </c>
      <c r="H1881" t="s">
        <v>8</v>
      </c>
      <c r="I1881" t="s">
        <v>3</v>
      </c>
      <c r="J1881">
        <v>3</v>
      </c>
      <c r="K1881" t="s">
        <v>4</v>
      </c>
      <c r="L1881" t="s">
        <v>47</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5">
      <c r="A1882" t="s">
        <v>1967</v>
      </c>
      <c r="B1882" t="s">
        <v>31</v>
      </c>
      <c r="C1882">
        <v>8</v>
      </c>
      <c r="D1882">
        <v>39.4</v>
      </c>
      <c r="E1882">
        <v>315.2</v>
      </c>
      <c r="F1882" s="1">
        <v>45726</v>
      </c>
      <c r="G1882" s="1">
        <v>45727</v>
      </c>
      <c r="H1882" t="s">
        <v>12</v>
      </c>
      <c r="I1882" t="s">
        <v>20</v>
      </c>
      <c r="J1882">
        <v>5</v>
      </c>
      <c r="K1882" t="s">
        <v>4</v>
      </c>
      <c r="L1882" t="s">
        <v>47</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5">
      <c r="A1883" t="s">
        <v>1968</v>
      </c>
      <c r="B1883" t="s">
        <v>52</v>
      </c>
      <c r="C1883">
        <v>4</v>
      </c>
      <c r="D1883">
        <v>34.9</v>
      </c>
      <c r="E1883">
        <v>139.6</v>
      </c>
      <c r="F1883" s="1">
        <v>45726</v>
      </c>
      <c r="G1883" s="1">
        <v>45728</v>
      </c>
      <c r="H1883" t="s">
        <v>12</v>
      </c>
      <c r="I1883" t="s">
        <v>3</v>
      </c>
      <c r="J1883">
        <v>5</v>
      </c>
      <c r="K1883" t="s">
        <v>4</v>
      </c>
      <c r="L1883" t="s">
        <v>47</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5">
      <c r="A1884" t="s">
        <v>1969</v>
      </c>
      <c r="B1884" t="s">
        <v>7</v>
      </c>
      <c r="C1884">
        <v>3</v>
      </c>
      <c r="D1884">
        <v>62.3</v>
      </c>
      <c r="E1884">
        <v>186.89999999999998</v>
      </c>
      <c r="F1884" s="1">
        <v>45726</v>
      </c>
      <c r="G1884" s="1">
        <v>45728</v>
      </c>
      <c r="H1884" t="s">
        <v>8</v>
      </c>
      <c r="I1884" t="s">
        <v>55</v>
      </c>
      <c r="J1884">
        <v>5</v>
      </c>
      <c r="K1884" t="s">
        <v>4</v>
      </c>
      <c r="L1884" t="s">
        <v>47</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5">
      <c r="A1885" t="s">
        <v>1970</v>
      </c>
      <c r="B1885" t="s">
        <v>29</v>
      </c>
      <c r="C1885">
        <v>4</v>
      </c>
      <c r="D1885">
        <v>21.1</v>
      </c>
      <c r="E1885">
        <v>84.4</v>
      </c>
      <c r="F1885" s="1">
        <v>45726</v>
      </c>
      <c r="G1885" s="1">
        <v>45729</v>
      </c>
      <c r="H1885" t="s">
        <v>8</v>
      </c>
      <c r="I1885" t="s">
        <v>36</v>
      </c>
      <c r="J1885">
        <v>4</v>
      </c>
      <c r="K1885" t="s">
        <v>4</v>
      </c>
      <c r="L1885" t="s">
        <v>47</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5">
      <c r="A1886" t="s">
        <v>1971</v>
      </c>
      <c r="B1886" t="s">
        <v>29</v>
      </c>
      <c r="C1886">
        <v>3</v>
      </c>
      <c r="D1886">
        <v>33.200000000000003</v>
      </c>
      <c r="E1886">
        <v>99.600000000000009</v>
      </c>
      <c r="F1886" s="1">
        <v>45726</v>
      </c>
      <c r="G1886" s="1">
        <v>45740</v>
      </c>
      <c r="H1886" t="s">
        <v>2</v>
      </c>
      <c r="I1886" t="s">
        <v>3</v>
      </c>
      <c r="J1886">
        <v>2</v>
      </c>
      <c r="K1886" t="s">
        <v>4</v>
      </c>
      <c r="L1886" t="s">
        <v>47</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5">
      <c r="A1887" t="s">
        <v>1972</v>
      </c>
      <c r="B1887" t="s">
        <v>7</v>
      </c>
      <c r="C1887">
        <v>4</v>
      </c>
      <c r="D1887">
        <v>74.5</v>
      </c>
      <c r="E1887">
        <v>298</v>
      </c>
      <c r="F1887" s="1">
        <v>45726</v>
      </c>
      <c r="G1887" s="1">
        <v>45727</v>
      </c>
      <c r="H1887" t="s">
        <v>8</v>
      </c>
      <c r="I1887" t="s">
        <v>55</v>
      </c>
      <c r="J1887">
        <v>4</v>
      </c>
      <c r="K1887" t="s">
        <v>4</v>
      </c>
      <c r="L1887" t="s">
        <v>47</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5">
      <c r="A1888" t="s">
        <v>1973</v>
      </c>
      <c r="B1888" t="s">
        <v>39</v>
      </c>
      <c r="C1888">
        <v>12</v>
      </c>
      <c r="D1888">
        <v>68.599999999999994</v>
      </c>
      <c r="E1888">
        <v>823.19999999999993</v>
      </c>
      <c r="F1888" s="1">
        <v>45726</v>
      </c>
      <c r="G1888" s="1">
        <v>45729</v>
      </c>
      <c r="H1888" t="s">
        <v>12</v>
      </c>
      <c r="I1888" t="s">
        <v>3</v>
      </c>
      <c r="J1888">
        <v>5</v>
      </c>
      <c r="K1888" t="s">
        <v>4</v>
      </c>
      <c r="L1888" t="s">
        <v>47</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5">
      <c r="A1889" t="s">
        <v>1974</v>
      </c>
      <c r="B1889" t="s">
        <v>22</v>
      </c>
      <c r="C1889">
        <v>14</v>
      </c>
      <c r="D1889">
        <v>36.4</v>
      </c>
      <c r="E1889">
        <v>509.59999999999997</v>
      </c>
      <c r="F1889" s="1">
        <v>45726</v>
      </c>
      <c r="G1889" s="1">
        <v>45728</v>
      </c>
      <c r="H1889" t="s">
        <v>12</v>
      </c>
      <c r="I1889" t="s">
        <v>3</v>
      </c>
      <c r="J1889">
        <v>3</v>
      </c>
      <c r="K1889" t="s">
        <v>4</v>
      </c>
      <c r="L1889" t="s">
        <v>57</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5">
      <c r="A1890" t="s">
        <v>1975</v>
      </c>
      <c r="B1890" t="s">
        <v>113</v>
      </c>
      <c r="C1890">
        <v>5</v>
      </c>
      <c r="D1890">
        <v>67.599999999999994</v>
      </c>
      <c r="E1890">
        <v>338</v>
      </c>
      <c r="F1890" s="1">
        <v>45727</v>
      </c>
      <c r="G1890" s="1">
        <v>45730</v>
      </c>
      <c r="H1890" t="s">
        <v>12</v>
      </c>
      <c r="I1890" t="s">
        <v>55</v>
      </c>
      <c r="J1890">
        <v>3</v>
      </c>
      <c r="K1890" t="s">
        <v>4</v>
      </c>
      <c r="L1890" t="s">
        <v>57</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5">
      <c r="A1891" t="s">
        <v>1976</v>
      </c>
      <c r="B1891" t="s">
        <v>108</v>
      </c>
      <c r="C1891">
        <v>1</v>
      </c>
      <c r="D1891">
        <v>46.3</v>
      </c>
      <c r="E1891">
        <v>46.3</v>
      </c>
      <c r="F1891" s="1">
        <v>45727</v>
      </c>
      <c r="G1891" s="1">
        <v>45728</v>
      </c>
      <c r="H1891" t="s">
        <v>8</v>
      </c>
      <c r="I1891" t="s">
        <v>25</v>
      </c>
      <c r="J1891">
        <v>4</v>
      </c>
      <c r="K1891" t="s">
        <v>4</v>
      </c>
      <c r="L1891" t="s">
        <v>57</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5">
      <c r="A1892" t="s">
        <v>1977</v>
      </c>
      <c r="B1892" t="s">
        <v>7</v>
      </c>
      <c r="C1892">
        <v>3</v>
      </c>
      <c r="D1892">
        <v>124.2</v>
      </c>
      <c r="E1892">
        <v>372.6</v>
      </c>
      <c r="F1892" s="1">
        <v>45727</v>
      </c>
      <c r="G1892" s="1">
        <v>45729</v>
      </c>
      <c r="H1892" t="s">
        <v>12</v>
      </c>
      <c r="I1892" t="s">
        <v>20</v>
      </c>
      <c r="J1892">
        <v>5</v>
      </c>
      <c r="K1892" t="s">
        <v>4</v>
      </c>
      <c r="L1892" t="s">
        <v>62</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5">
      <c r="A1893" t="s">
        <v>1978</v>
      </c>
      <c r="B1893" t="s">
        <v>39</v>
      </c>
      <c r="C1893">
        <v>2</v>
      </c>
      <c r="D1893">
        <v>37</v>
      </c>
      <c r="E1893">
        <v>74</v>
      </c>
      <c r="F1893" s="1">
        <v>45727</v>
      </c>
      <c r="G1893" s="1">
        <v>45733</v>
      </c>
      <c r="H1893" t="s">
        <v>8</v>
      </c>
      <c r="I1893" t="s">
        <v>3</v>
      </c>
      <c r="J1893">
        <v>4</v>
      </c>
      <c r="K1893" t="s">
        <v>4</v>
      </c>
      <c r="L1893" t="s">
        <v>62</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5">
      <c r="A1894" t="s">
        <v>1979</v>
      </c>
      <c r="B1894" t="s">
        <v>22</v>
      </c>
      <c r="C1894">
        <v>1</v>
      </c>
      <c r="D1894">
        <v>41.8</v>
      </c>
      <c r="E1894">
        <v>41.8</v>
      </c>
      <c r="F1894" s="1">
        <v>45727</v>
      </c>
      <c r="G1894" s="1">
        <v>45728</v>
      </c>
      <c r="H1894" t="s">
        <v>8</v>
      </c>
      <c r="I1894" t="s">
        <v>25</v>
      </c>
      <c r="J1894">
        <v>4</v>
      </c>
      <c r="K1894" t="s">
        <v>4</v>
      </c>
      <c r="L1894" t="s">
        <v>277</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5">
      <c r="A1895" t="s">
        <v>1980</v>
      </c>
      <c r="B1895" t="s">
        <v>31</v>
      </c>
      <c r="C1895">
        <v>2</v>
      </c>
      <c r="D1895">
        <v>57.2</v>
      </c>
      <c r="E1895">
        <v>114.4</v>
      </c>
      <c r="F1895" s="1">
        <v>45727</v>
      </c>
      <c r="G1895" s="1">
        <v>45729</v>
      </c>
      <c r="H1895" t="s">
        <v>8</v>
      </c>
      <c r="I1895" t="s">
        <v>25</v>
      </c>
      <c r="J1895">
        <v>3</v>
      </c>
      <c r="K1895" t="s">
        <v>4</v>
      </c>
      <c r="L1895" t="s">
        <v>98</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5">
      <c r="A1896" t="s">
        <v>1981</v>
      </c>
      <c r="B1896" t="s">
        <v>24</v>
      </c>
      <c r="C1896">
        <v>2</v>
      </c>
      <c r="D1896">
        <v>47.1</v>
      </c>
      <c r="E1896">
        <v>94.2</v>
      </c>
      <c r="F1896" s="1">
        <v>45727</v>
      </c>
      <c r="G1896" s="1">
        <v>45729</v>
      </c>
      <c r="H1896" t="s">
        <v>12</v>
      </c>
      <c r="I1896" t="s">
        <v>3</v>
      </c>
      <c r="J1896">
        <v>2</v>
      </c>
      <c r="K1896" t="s">
        <v>4</v>
      </c>
      <c r="L1896" t="s">
        <v>98</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5">
      <c r="A1897" t="s">
        <v>1982</v>
      </c>
      <c r="B1897" t="s">
        <v>22</v>
      </c>
      <c r="C1897">
        <v>3</v>
      </c>
      <c r="D1897">
        <v>86.4</v>
      </c>
      <c r="E1897">
        <v>259.20000000000005</v>
      </c>
      <c r="F1897" s="1">
        <v>45727</v>
      </c>
      <c r="G1897" s="1">
        <v>45728</v>
      </c>
      <c r="H1897" t="s">
        <v>8</v>
      </c>
      <c r="I1897" t="s">
        <v>25</v>
      </c>
      <c r="J1897">
        <v>3</v>
      </c>
      <c r="K1897" t="s">
        <v>4</v>
      </c>
      <c r="L1897" t="s">
        <v>982</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5">
      <c r="A1898" t="s">
        <v>1983</v>
      </c>
      <c r="B1898" t="s">
        <v>24</v>
      </c>
      <c r="C1898">
        <v>5</v>
      </c>
      <c r="D1898">
        <v>105</v>
      </c>
      <c r="E1898">
        <v>525</v>
      </c>
      <c r="F1898" s="1">
        <v>45727</v>
      </c>
      <c r="G1898" s="1">
        <v>45730</v>
      </c>
      <c r="H1898" t="s">
        <v>8</v>
      </c>
      <c r="I1898" t="s">
        <v>3</v>
      </c>
      <c r="J1898">
        <v>4</v>
      </c>
      <c r="K1898" t="s">
        <v>4</v>
      </c>
      <c r="L1898" t="s">
        <v>67</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5">
      <c r="A1899" t="s">
        <v>1984</v>
      </c>
      <c r="B1899" t="s">
        <v>131</v>
      </c>
      <c r="C1899">
        <v>1</v>
      </c>
      <c r="D1899">
        <v>33</v>
      </c>
      <c r="E1899">
        <v>33</v>
      </c>
      <c r="F1899" s="1">
        <v>45727</v>
      </c>
      <c r="G1899" s="1">
        <v>45730</v>
      </c>
      <c r="H1899" t="s">
        <v>8</v>
      </c>
      <c r="I1899" t="s">
        <v>55</v>
      </c>
      <c r="J1899">
        <v>4</v>
      </c>
      <c r="K1899" t="s">
        <v>4</v>
      </c>
      <c r="L1899" t="s">
        <v>100</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5">
      <c r="A1900" t="s">
        <v>1985</v>
      </c>
      <c r="B1900" t="s">
        <v>24</v>
      </c>
      <c r="C1900">
        <v>5</v>
      </c>
      <c r="D1900">
        <v>106.6</v>
      </c>
      <c r="E1900">
        <v>533</v>
      </c>
      <c r="F1900" s="1">
        <v>45727</v>
      </c>
      <c r="G1900" s="1">
        <v>45740</v>
      </c>
      <c r="H1900" t="s">
        <v>12</v>
      </c>
      <c r="I1900" t="s">
        <v>25</v>
      </c>
      <c r="J1900">
        <v>4</v>
      </c>
      <c r="K1900" t="s">
        <v>4</v>
      </c>
      <c r="L1900" t="s">
        <v>9</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5">
      <c r="A1901" t="s">
        <v>1986</v>
      </c>
      <c r="B1901" t="s">
        <v>39</v>
      </c>
      <c r="C1901">
        <v>32</v>
      </c>
      <c r="D1901">
        <v>26.8</v>
      </c>
      <c r="E1901">
        <v>857.6</v>
      </c>
      <c r="F1901" s="1">
        <v>45727</v>
      </c>
      <c r="G1901" s="1">
        <v>45728</v>
      </c>
      <c r="H1901" t="s">
        <v>12</v>
      </c>
      <c r="I1901" t="s">
        <v>25</v>
      </c>
      <c r="J1901">
        <v>4</v>
      </c>
      <c r="K1901" t="s">
        <v>4</v>
      </c>
      <c r="L1901" t="s">
        <v>9</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5">
      <c r="A1902" t="s">
        <v>1987</v>
      </c>
      <c r="B1902" t="s">
        <v>120</v>
      </c>
      <c r="C1902">
        <v>5</v>
      </c>
      <c r="D1902">
        <v>25.8</v>
      </c>
      <c r="E1902">
        <v>129</v>
      </c>
      <c r="F1902" s="1">
        <v>45727</v>
      </c>
      <c r="G1902" s="1">
        <v>45727</v>
      </c>
      <c r="H1902" t="s">
        <v>12</v>
      </c>
      <c r="I1902" t="s">
        <v>20</v>
      </c>
      <c r="J1902">
        <v>5</v>
      </c>
      <c r="K1902" t="s">
        <v>4</v>
      </c>
      <c r="L1902" t="s">
        <v>18</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5">
      <c r="A1903" t="s">
        <v>1988</v>
      </c>
      <c r="B1903" t="s">
        <v>11</v>
      </c>
      <c r="C1903">
        <v>3</v>
      </c>
      <c r="D1903">
        <v>217</v>
      </c>
      <c r="E1903">
        <v>651</v>
      </c>
      <c r="F1903" s="1">
        <v>45727</v>
      </c>
      <c r="G1903" s="1">
        <v>45728</v>
      </c>
      <c r="H1903" t="s">
        <v>12</v>
      </c>
      <c r="I1903" t="s">
        <v>20</v>
      </c>
      <c r="J1903">
        <v>3</v>
      </c>
      <c r="K1903" t="s">
        <v>4</v>
      </c>
      <c r="L1903" t="s">
        <v>18</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5">
      <c r="A1904" t="s">
        <v>1989</v>
      </c>
      <c r="B1904" t="s">
        <v>11</v>
      </c>
      <c r="C1904">
        <v>2</v>
      </c>
      <c r="D1904">
        <v>97.3</v>
      </c>
      <c r="E1904">
        <v>194.6</v>
      </c>
      <c r="F1904" s="1">
        <v>45727</v>
      </c>
      <c r="G1904" s="1">
        <v>45728</v>
      </c>
      <c r="H1904" t="s">
        <v>8</v>
      </c>
      <c r="I1904" t="s">
        <v>25</v>
      </c>
      <c r="J1904">
        <v>2</v>
      </c>
      <c r="K1904" t="s">
        <v>4</v>
      </c>
      <c r="L1904" t="s">
        <v>18</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5">
      <c r="A1905" t="s">
        <v>1990</v>
      </c>
      <c r="B1905" t="s">
        <v>7</v>
      </c>
      <c r="C1905">
        <v>1</v>
      </c>
      <c r="D1905">
        <v>49.8</v>
      </c>
      <c r="E1905">
        <v>49.8</v>
      </c>
      <c r="F1905" s="1">
        <v>45727</v>
      </c>
      <c r="G1905" s="1">
        <v>45728</v>
      </c>
      <c r="H1905" t="s">
        <v>12</v>
      </c>
      <c r="I1905" t="s">
        <v>3</v>
      </c>
      <c r="J1905">
        <v>4</v>
      </c>
      <c r="K1905" t="s">
        <v>4</v>
      </c>
      <c r="L1905" t="s">
        <v>18</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5">
      <c r="A1906" t="s">
        <v>1991</v>
      </c>
      <c r="B1906" t="s">
        <v>54</v>
      </c>
      <c r="C1906">
        <v>5</v>
      </c>
      <c r="D1906">
        <v>32.6</v>
      </c>
      <c r="E1906">
        <v>163</v>
      </c>
      <c r="F1906" s="1">
        <v>45727</v>
      </c>
      <c r="G1906" s="1">
        <v>45728</v>
      </c>
      <c r="H1906" t="s">
        <v>12</v>
      </c>
      <c r="I1906" t="s">
        <v>3</v>
      </c>
      <c r="J1906">
        <v>4</v>
      </c>
      <c r="K1906" t="s">
        <v>4</v>
      </c>
      <c r="L1906" t="s">
        <v>18</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5">
      <c r="A1907" t="s">
        <v>1992</v>
      </c>
      <c r="B1907" t="s">
        <v>31</v>
      </c>
      <c r="C1907">
        <v>2</v>
      </c>
      <c r="D1907">
        <v>40.1</v>
      </c>
      <c r="E1907">
        <v>80.2</v>
      </c>
      <c r="F1907" s="1">
        <v>45727</v>
      </c>
      <c r="G1907" s="1">
        <v>45730</v>
      </c>
      <c r="H1907" t="s">
        <v>8</v>
      </c>
      <c r="I1907" t="s">
        <v>20</v>
      </c>
      <c r="J1907">
        <v>5</v>
      </c>
      <c r="K1907" t="s">
        <v>4</v>
      </c>
      <c r="L1907" t="s">
        <v>18</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5">
      <c r="A1908" t="s">
        <v>1993</v>
      </c>
      <c r="B1908" t="s">
        <v>39</v>
      </c>
      <c r="C1908">
        <v>2</v>
      </c>
      <c r="D1908">
        <v>49.4</v>
      </c>
      <c r="E1908">
        <v>98.8</v>
      </c>
      <c r="F1908" s="1">
        <v>45727</v>
      </c>
      <c r="G1908" s="1">
        <v>45729</v>
      </c>
      <c r="H1908" t="s">
        <v>8</v>
      </c>
      <c r="I1908" t="s">
        <v>20</v>
      </c>
      <c r="J1908">
        <v>4</v>
      </c>
      <c r="K1908" t="s">
        <v>4</v>
      </c>
      <c r="L1908" t="s">
        <v>18</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5">
      <c r="A1909" t="s">
        <v>1994</v>
      </c>
      <c r="B1909" t="s">
        <v>11</v>
      </c>
      <c r="C1909">
        <v>1</v>
      </c>
      <c r="D1909">
        <v>67.3</v>
      </c>
      <c r="E1909">
        <v>67.3</v>
      </c>
      <c r="F1909" s="1">
        <v>45727</v>
      </c>
      <c r="G1909" s="1">
        <v>45728</v>
      </c>
      <c r="H1909" t="s">
        <v>12</v>
      </c>
      <c r="I1909" t="s">
        <v>3</v>
      </c>
      <c r="J1909">
        <v>5</v>
      </c>
      <c r="K1909" t="s">
        <v>4</v>
      </c>
      <c r="L1909" t="s">
        <v>18</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5">
      <c r="A1910" t="s">
        <v>1995</v>
      </c>
      <c r="B1910" t="s">
        <v>131</v>
      </c>
      <c r="C1910">
        <v>4</v>
      </c>
      <c r="D1910">
        <v>44.5</v>
      </c>
      <c r="E1910">
        <v>178</v>
      </c>
      <c r="F1910" s="1">
        <v>45727</v>
      </c>
      <c r="G1910" s="1">
        <v>45730</v>
      </c>
      <c r="H1910" t="s">
        <v>2</v>
      </c>
      <c r="I1910" t="s">
        <v>20</v>
      </c>
      <c r="J1910">
        <v>4</v>
      </c>
      <c r="K1910" t="s">
        <v>4</v>
      </c>
      <c r="L1910" t="s">
        <v>18</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5">
      <c r="A1911" t="s">
        <v>1996</v>
      </c>
      <c r="B1911" t="s">
        <v>24</v>
      </c>
      <c r="C1911">
        <v>11</v>
      </c>
      <c r="D1911">
        <v>111.1</v>
      </c>
      <c r="E1911">
        <v>1222.0999999999999</v>
      </c>
      <c r="F1911" s="1">
        <v>45727</v>
      </c>
      <c r="G1911" s="1">
        <v>45728</v>
      </c>
      <c r="H1911" t="s">
        <v>12</v>
      </c>
      <c r="I1911" t="s">
        <v>55</v>
      </c>
      <c r="J1911">
        <v>4</v>
      </c>
      <c r="K1911" t="s">
        <v>4</v>
      </c>
      <c r="L1911" t="s">
        <v>18</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5">
      <c r="A1912" t="s">
        <v>1997</v>
      </c>
      <c r="B1912" t="s">
        <v>29</v>
      </c>
      <c r="C1912">
        <v>3</v>
      </c>
      <c r="D1912">
        <v>19.7</v>
      </c>
      <c r="E1912">
        <v>59.099999999999994</v>
      </c>
      <c r="F1912" s="1">
        <v>45727</v>
      </c>
      <c r="G1912" s="1">
        <v>45728</v>
      </c>
      <c r="H1912" t="s">
        <v>12</v>
      </c>
      <c r="I1912" t="s">
        <v>55</v>
      </c>
      <c r="J1912">
        <v>2</v>
      </c>
      <c r="K1912" t="s">
        <v>4</v>
      </c>
      <c r="L1912" t="s">
        <v>18</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5">
      <c r="A1913" t="s">
        <v>1998</v>
      </c>
      <c r="B1913" t="s">
        <v>7</v>
      </c>
      <c r="C1913">
        <v>1</v>
      </c>
      <c r="D1913">
        <v>40.299999999999997</v>
      </c>
      <c r="E1913">
        <v>40.299999999999997</v>
      </c>
      <c r="F1913" s="1">
        <v>45727</v>
      </c>
      <c r="G1913" s="1">
        <v>45728</v>
      </c>
      <c r="H1913" t="s">
        <v>74</v>
      </c>
      <c r="I1913" t="s">
        <v>20</v>
      </c>
      <c r="J1913">
        <v>4</v>
      </c>
      <c r="K1913" t="s">
        <v>4</v>
      </c>
      <c r="L1913" t="s">
        <v>18</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5">
      <c r="A1914" t="s">
        <v>1999</v>
      </c>
      <c r="B1914" t="s">
        <v>24</v>
      </c>
      <c r="C1914">
        <v>2</v>
      </c>
      <c r="D1914">
        <v>108.8</v>
      </c>
      <c r="E1914">
        <v>217.6</v>
      </c>
      <c r="F1914" s="1">
        <v>45727</v>
      </c>
      <c r="G1914" s="1">
        <v>45732</v>
      </c>
      <c r="H1914" t="s">
        <v>8</v>
      </c>
      <c r="I1914" t="s">
        <v>3</v>
      </c>
      <c r="J1914">
        <v>5</v>
      </c>
      <c r="K1914" t="s">
        <v>4</v>
      </c>
      <c r="L1914" t="s">
        <v>40</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5">
      <c r="A1915" t="s">
        <v>2000</v>
      </c>
      <c r="B1915" t="s">
        <v>29</v>
      </c>
      <c r="C1915">
        <v>3</v>
      </c>
      <c r="D1915">
        <v>48.2</v>
      </c>
      <c r="E1915">
        <v>144.60000000000002</v>
      </c>
      <c r="F1915" s="1">
        <v>45727</v>
      </c>
      <c r="G1915" s="1">
        <v>45732</v>
      </c>
      <c r="H1915" t="s">
        <v>12</v>
      </c>
      <c r="I1915" t="s">
        <v>55</v>
      </c>
      <c r="J1915">
        <v>4</v>
      </c>
      <c r="K1915" t="s">
        <v>4</v>
      </c>
      <c r="L1915" t="s">
        <v>44</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5">
      <c r="A1916" t="s">
        <v>2001</v>
      </c>
      <c r="B1916" t="s">
        <v>11</v>
      </c>
      <c r="C1916">
        <v>3</v>
      </c>
      <c r="D1916">
        <v>104.7</v>
      </c>
      <c r="E1916">
        <v>314.10000000000002</v>
      </c>
      <c r="F1916" s="1">
        <v>45727</v>
      </c>
      <c r="G1916" s="1">
        <v>45729</v>
      </c>
      <c r="H1916" t="s">
        <v>12</v>
      </c>
      <c r="I1916" t="s">
        <v>3</v>
      </c>
      <c r="J1916">
        <v>3</v>
      </c>
      <c r="K1916" t="s">
        <v>4</v>
      </c>
      <c r="L1916" t="s">
        <v>44</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5">
      <c r="A1917" t="s">
        <v>2002</v>
      </c>
      <c r="B1917" t="s">
        <v>7</v>
      </c>
      <c r="C1917">
        <v>2</v>
      </c>
      <c r="D1917">
        <v>80.599999999999994</v>
      </c>
      <c r="E1917">
        <v>161.19999999999999</v>
      </c>
      <c r="F1917" s="1">
        <v>45727</v>
      </c>
      <c r="G1917" s="1">
        <v>45727</v>
      </c>
      <c r="H1917" t="s">
        <v>12</v>
      </c>
      <c r="I1917" t="s">
        <v>20</v>
      </c>
      <c r="J1917">
        <v>4</v>
      </c>
      <c r="K1917" t="s">
        <v>4</v>
      </c>
      <c r="L1917" t="s">
        <v>47</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5">
      <c r="A1918" t="s">
        <v>2003</v>
      </c>
      <c r="B1918" t="s">
        <v>24</v>
      </c>
      <c r="C1918">
        <v>1</v>
      </c>
      <c r="D1918">
        <v>65.5</v>
      </c>
      <c r="E1918">
        <v>65.5</v>
      </c>
      <c r="F1918" s="1">
        <v>45727</v>
      </c>
      <c r="G1918" s="1">
        <v>45729</v>
      </c>
      <c r="H1918" t="s">
        <v>74</v>
      </c>
      <c r="I1918" t="s">
        <v>20</v>
      </c>
      <c r="J1918">
        <v>4</v>
      </c>
      <c r="K1918" t="s">
        <v>4</v>
      </c>
      <c r="L1918" t="s">
        <v>47</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5">
      <c r="A1919" t="s">
        <v>2004</v>
      </c>
      <c r="B1919" t="s">
        <v>31</v>
      </c>
      <c r="C1919">
        <v>3</v>
      </c>
      <c r="D1919">
        <v>61.4</v>
      </c>
      <c r="E1919">
        <v>184.2</v>
      </c>
      <c r="F1919" s="1">
        <v>45727</v>
      </c>
      <c r="G1919" s="1">
        <v>45729</v>
      </c>
      <c r="H1919" t="s">
        <v>12</v>
      </c>
      <c r="I1919" t="s">
        <v>55</v>
      </c>
      <c r="J1919">
        <v>5</v>
      </c>
      <c r="K1919" t="s">
        <v>4</v>
      </c>
      <c r="L1919" t="s">
        <v>47</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5">
      <c r="A1920" t="s">
        <v>2005</v>
      </c>
      <c r="B1920" t="s">
        <v>1</v>
      </c>
      <c r="C1920">
        <v>1</v>
      </c>
      <c r="D1920">
        <v>12.5</v>
      </c>
      <c r="E1920">
        <v>12.5</v>
      </c>
      <c r="F1920" s="1">
        <v>45728</v>
      </c>
      <c r="G1920" s="1">
        <v>45731</v>
      </c>
      <c r="H1920" t="s">
        <v>12</v>
      </c>
      <c r="I1920" t="s">
        <v>3</v>
      </c>
      <c r="J1920">
        <v>3</v>
      </c>
      <c r="K1920" t="s">
        <v>4</v>
      </c>
      <c r="L1920" t="s">
        <v>47</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5">
      <c r="A1921" t="s">
        <v>2006</v>
      </c>
      <c r="B1921" t="s">
        <v>17</v>
      </c>
      <c r="C1921">
        <v>4</v>
      </c>
      <c r="D1921">
        <v>35.1</v>
      </c>
      <c r="E1921">
        <v>140.4</v>
      </c>
      <c r="F1921" s="1">
        <v>45728</v>
      </c>
      <c r="G1921" s="1">
        <v>45729</v>
      </c>
      <c r="H1921" t="s">
        <v>8</v>
      </c>
      <c r="I1921" t="s">
        <v>25</v>
      </c>
      <c r="J1921">
        <v>3</v>
      </c>
      <c r="K1921" t="s">
        <v>4</v>
      </c>
      <c r="L1921" t="s">
        <v>88</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5">
      <c r="A1922" t="s">
        <v>2007</v>
      </c>
      <c r="B1922" t="s">
        <v>22</v>
      </c>
      <c r="C1922">
        <v>2</v>
      </c>
      <c r="D1922">
        <v>55.7</v>
      </c>
      <c r="E1922">
        <v>111.4</v>
      </c>
      <c r="F1922" s="1">
        <v>45728</v>
      </c>
      <c r="G1922" s="1">
        <v>45729</v>
      </c>
      <c r="H1922" t="s">
        <v>8</v>
      </c>
      <c r="I1922" t="s">
        <v>3</v>
      </c>
      <c r="J1922">
        <v>3</v>
      </c>
      <c r="K1922" t="s">
        <v>4</v>
      </c>
      <c r="L1922" t="s">
        <v>186</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5">
      <c r="A1923" t="s">
        <v>2008</v>
      </c>
      <c r="B1923" t="s">
        <v>27</v>
      </c>
      <c r="C1923">
        <v>2</v>
      </c>
      <c r="D1923">
        <v>57.7</v>
      </c>
      <c r="E1923">
        <v>115.4</v>
      </c>
      <c r="F1923" s="1">
        <v>45728</v>
      </c>
      <c r="G1923" s="1">
        <v>45730</v>
      </c>
      <c r="H1923" t="s">
        <v>8</v>
      </c>
      <c r="I1923" t="s">
        <v>55</v>
      </c>
      <c r="J1923">
        <v>3</v>
      </c>
      <c r="K1923" t="s">
        <v>4</v>
      </c>
      <c r="L1923" t="s">
        <v>57</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5">
      <c r="A1924" t="s">
        <v>2009</v>
      </c>
      <c r="B1924" t="s">
        <v>11</v>
      </c>
      <c r="C1924">
        <v>6</v>
      </c>
      <c r="D1924">
        <v>85.7</v>
      </c>
      <c r="E1924">
        <v>514.20000000000005</v>
      </c>
      <c r="F1924" s="1">
        <v>45728</v>
      </c>
      <c r="G1924" s="1">
        <v>45729</v>
      </c>
      <c r="H1924" t="s">
        <v>8</v>
      </c>
      <c r="I1924" t="s">
        <v>36</v>
      </c>
      <c r="J1924">
        <v>5</v>
      </c>
      <c r="K1924" t="s">
        <v>4</v>
      </c>
      <c r="L1924" t="s">
        <v>57</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5">
      <c r="A1925" t="s">
        <v>2010</v>
      </c>
      <c r="B1925" t="s">
        <v>11</v>
      </c>
      <c r="C1925">
        <v>3</v>
      </c>
      <c r="D1925">
        <v>86.9</v>
      </c>
      <c r="E1925">
        <v>260.70000000000005</v>
      </c>
      <c r="F1925" s="1">
        <v>45728</v>
      </c>
      <c r="G1925" s="1">
        <v>45730</v>
      </c>
      <c r="H1925" t="s">
        <v>12</v>
      </c>
      <c r="I1925" t="s">
        <v>20</v>
      </c>
      <c r="J1925">
        <v>4</v>
      </c>
      <c r="K1925" t="s">
        <v>4</v>
      </c>
      <c r="L1925" t="s">
        <v>62</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5">
      <c r="A1926" t="s">
        <v>2011</v>
      </c>
      <c r="B1926" t="s">
        <v>131</v>
      </c>
      <c r="C1926">
        <v>2</v>
      </c>
      <c r="D1926">
        <v>46.4</v>
      </c>
      <c r="E1926">
        <v>92.8</v>
      </c>
      <c r="F1926" s="1">
        <v>45728</v>
      </c>
      <c r="G1926" s="1">
        <v>45731</v>
      </c>
      <c r="H1926" t="s">
        <v>12</v>
      </c>
      <c r="I1926" t="s">
        <v>55</v>
      </c>
      <c r="J1926">
        <v>4</v>
      </c>
      <c r="K1926" t="s">
        <v>4</v>
      </c>
      <c r="L1926" t="s">
        <v>62</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5">
      <c r="A1927" t="s">
        <v>2012</v>
      </c>
      <c r="B1927" t="s">
        <v>22</v>
      </c>
      <c r="C1927">
        <v>3</v>
      </c>
      <c r="D1927">
        <v>25.4</v>
      </c>
      <c r="E1927">
        <v>76.199999999999989</v>
      </c>
      <c r="F1927" s="1">
        <v>45728</v>
      </c>
      <c r="G1927" s="1">
        <v>45728</v>
      </c>
      <c r="H1927" t="s">
        <v>12</v>
      </c>
      <c r="I1927" t="s">
        <v>25</v>
      </c>
      <c r="J1927">
        <v>5</v>
      </c>
      <c r="K1927" t="s">
        <v>4</v>
      </c>
      <c r="L1927" t="s">
        <v>93</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5">
      <c r="A1928" t="s">
        <v>2013</v>
      </c>
      <c r="B1928" t="s">
        <v>39</v>
      </c>
      <c r="C1928">
        <v>3</v>
      </c>
      <c r="D1928">
        <v>47.8</v>
      </c>
      <c r="E1928">
        <v>143.39999999999998</v>
      </c>
      <c r="F1928" s="1">
        <v>45728</v>
      </c>
      <c r="G1928" s="1">
        <v>45728</v>
      </c>
      <c r="H1928" t="s">
        <v>2</v>
      </c>
      <c r="I1928" t="s">
        <v>25</v>
      </c>
      <c r="J1928">
        <v>5</v>
      </c>
      <c r="K1928" t="s">
        <v>4</v>
      </c>
      <c r="L1928" t="s">
        <v>95</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5">
      <c r="A1929" t="s">
        <v>2014</v>
      </c>
      <c r="B1929" t="s">
        <v>29</v>
      </c>
      <c r="C1929">
        <v>19</v>
      </c>
      <c r="D1929">
        <v>18.399999999999999</v>
      </c>
      <c r="E1929">
        <v>349.59999999999997</v>
      </c>
      <c r="F1929" s="1">
        <v>45728</v>
      </c>
      <c r="G1929" s="1">
        <v>45730</v>
      </c>
      <c r="H1929" t="s">
        <v>74</v>
      </c>
      <c r="I1929" t="s">
        <v>25</v>
      </c>
      <c r="J1929">
        <v>4</v>
      </c>
      <c r="K1929" t="s">
        <v>4</v>
      </c>
      <c r="L1929" t="s">
        <v>98</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5">
      <c r="A1930" t="s">
        <v>2015</v>
      </c>
      <c r="B1930" t="s">
        <v>54</v>
      </c>
      <c r="C1930">
        <v>3</v>
      </c>
      <c r="D1930">
        <v>65.5</v>
      </c>
      <c r="E1930">
        <v>196.5</v>
      </c>
      <c r="F1930" s="1">
        <v>45728</v>
      </c>
      <c r="G1930" s="1">
        <v>45736</v>
      </c>
      <c r="H1930" t="s">
        <v>12</v>
      </c>
      <c r="I1930" t="s">
        <v>3</v>
      </c>
      <c r="J1930">
        <v>4</v>
      </c>
      <c r="K1930" t="s">
        <v>4</v>
      </c>
      <c r="L1930" t="s">
        <v>100</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5">
      <c r="A1931" t="s">
        <v>2016</v>
      </c>
      <c r="B1931" t="s">
        <v>39</v>
      </c>
      <c r="C1931">
        <v>2</v>
      </c>
      <c r="D1931">
        <v>50.6</v>
      </c>
      <c r="E1931">
        <v>101.2</v>
      </c>
      <c r="F1931" s="1">
        <v>45728</v>
      </c>
      <c r="G1931" s="1">
        <v>45731</v>
      </c>
      <c r="H1931" t="s">
        <v>8</v>
      </c>
      <c r="I1931" t="s">
        <v>25</v>
      </c>
      <c r="J1931">
        <v>2</v>
      </c>
      <c r="K1931" t="s">
        <v>4</v>
      </c>
      <c r="L1931" t="s">
        <v>100</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5">
      <c r="A1932" t="s">
        <v>2017</v>
      </c>
      <c r="B1932" t="s">
        <v>15</v>
      </c>
      <c r="C1932">
        <v>5</v>
      </c>
      <c r="D1932">
        <v>69</v>
      </c>
      <c r="E1932">
        <v>345</v>
      </c>
      <c r="F1932" s="1">
        <v>45728</v>
      </c>
      <c r="G1932" s="1">
        <v>45732</v>
      </c>
      <c r="H1932" t="s">
        <v>8</v>
      </c>
      <c r="I1932" t="s">
        <v>36</v>
      </c>
      <c r="J1932">
        <v>4</v>
      </c>
      <c r="K1932" t="s">
        <v>4</v>
      </c>
      <c r="L1932" t="s">
        <v>100</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5">
      <c r="A1933" t="s">
        <v>2018</v>
      </c>
      <c r="B1933" t="s">
        <v>31</v>
      </c>
      <c r="C1933">
        <v>8</v>
      </c>
      <c r="D1933">
        <v>51.1</v>
      </c>
      <c r="E1933">
        <v>408.8</v>
      </c>
      <c r="F1933" s="1">
        <v>45728</v>
      </c>
      <c r="G1933" s="1">
        <v>45730</v>
      </c>
      <c r="H1933" t="s">
        <v>12</v>
      </c>
      <c r="I1933" t="s">
        <v>3</v>
      </c>
      <c r="J1933">
        <v>4</v>
      </c>
      <c r="K1933" t="s">
        <v>4</v>
      </c>
      <c r="L1933" t="s">
        <v>9</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5">
      <c r="A1934" t="s">
        <v>2019</v>
      </c>
      <c r="B1934" t="s">
        <v>31</v>
      </c>
      <c r="C1934">
        <v>1</v>
      </c>
      <c r="D1934">
        <v>36.1</v>
      </c>
      <c r="E1934">
        <v>36.1</v>
      </c>
      <c r="F1934" s="1">
        <v>45728</v>
      </c>
      <c r="G1934" s="1">
        <v>45729</v>
      </c>
      <c r="H1934" t="s">
        <v>12</v>
      </c>
      <c r="I1934" t="s">
        <v>3</v>
      </c>
      <c r="J1934">
        <v>5</v>
      </c>
      <c r="K1934" t="s">
        <v>4</v>
      </c>
      <c r="L1934" t="s">
        <v>319</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5">
      <c r="A1935" t="s">
        <v>2020</v>
      </c>
      <c r="B1935" t="s">
        <v>66</v>
      </c>
      <c r="C1935">
        <v>1</v>
      </c>
      <c r="D1935">
        <v>18.7</v>
      </c>
      <c r="E1935">
        <v>18.7</v>
      </c>
      <c r="F1935" s="1">
        <v>45728</v>
      </c>
      <c r="G1935" s="1">
        <v>45729</v>
      </c>
      <c r="H1935" t="s">
        <v>8</v>
      </c>
      <c r="I1935" t="s">
        <v>3</v>
      </c>
      <c r="J1935">
        <v>4</v>
      </c>
      <c r="K1935" t="s">
        <v>4</v>
      </c>
      <c r="L1935" t="s">
        <v>18</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5">
      <c r="A1936" t="s">
        <v>2021</v>
      </c>
      <c r="B1936" t="s">
        <v>120</v>
      </c>
      <c r="C1936">
        <v>1</v>
      </c>
      <c r="D1936">
        <v>30.1</v>
      </c>
      <c r="E1936">
        <v>30.1</v>
      </c>
      <c r="F1936" s="1">
        <v>45728</v>
      </c>
      <c r="G1936" s="1">
        <v>45731</v>
      </c>
      <c r="H1936" t="s">
        <v>12</v>
      </c>
      <c r="I1936" t="s">
        <v>36</v>
      </c>
      <c r="J1936">
        <v>3</v>
      </c>
      <c r="K1936" t="s">
        <v>4</v>
      </c>
      <c r="L1936" t="s">
        <v>18</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5">
      <c r="A1937" t="s">
        <v>2022</v>
      </c>
      <c r="B1937" t="s">
        <v>29</v>
      </c>
      <c r="C1937">
        <v>1</v>
      </c>
      <c r="D1937">
        <v>16.3</v>
      </c>
      <c r="E1937">
        <v>16.3</v>
      </c>
      <c r="F1937" s="1">
        <v>45728</v>
      </c>
      <c r="G1937" s="1">
        <v>45729</v>
      </c>
      <c r="H1937" t="s">
        <v>8</v>
      </c>
      <c r="I1937" t="s">
        <v>36</v>
      </c>
      <c r="J1937">
        <v>4</v>
      </c>
      <c r="K1937" t="s">
        <v>4</v>
      </c>
      <c r="L1937" t="s">
        <v>18</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5">
      <c r="A1938" t="s">
        <v>2023</v>
      </c>
      <c r="B1938" t="s">
        <v>7</v>
      </c>
      <c r="C1938">
        <v>3</v>
      </c>
      <c r="D1938">
        <v>63.8</v>
      </c>
      <c r="E1938">
        <v>191.39999999999998</v>
      </c>
      <c r="F1938" s="1">
        <v>45728</v>
      </c>
      <c r="G1938" s="1">
        <v>45733</v>
      </c>
      <c r="H1938" t="s">
        <v>12</v>
      </c>
      <c r="I1938" t="s">
        <v>25</v>
      </c>
      <c r="J1938">
        <v>3</v>
      </c>
      <c r="K1938" t="s">
        <v>4</v>
      </c>
      <c r="L1938" t="s">
        <v>18</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5">
      <c r="A1939" t="s">
        <v>2024</v>
      </c>
      <c r="B1939" t="s">
        <v>7</v>
      </c>
      <c r="C1939">
        <v>7</v>
      </c>
      <c r="D1939">
        <v>73.900000000000006</v>
      </c>
      <c r="E1939">
        <v>517.30000000000007</v>
      </c>
      <c r="F1939" s="1">
        <v>45728</v>
      </c>
      <c r="G1939" s="1">
        <v>45728</v>
      </c>
      <c r="H1939" t="s">
        <v>12</v>
      </c>
      <c r="I1939" t="s">
        <v>3</v>
      </c>
      <c r="J1939">
        <v>3</v>
      </c>
      <c r="K1939" t="s">
        <v>4</v>
      </c>
      <c r="L1939" t="s">
        <v>18</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5">
      <c r="A1940" t="s">
        <v>2025</v>
      </c>
      <c r="B1940" t="s">
        <v>1</v>
      </c>
      <c r="C1940">
        <v>2</v>
      </c>
      <c r="D1940">
        <v>20.2</v>
      </c>
      <c r="E1940">
        <v>40.4</v>
      </c>
      <c r="F1940" s="1">
        <v>45728</v>
      </c>
      <c r="G1940" s="1">
        <v>45729</v>
      </c>
      <c r="H1940" t="s">
        <v>8</v>
      </c>
      <c r="I1940" t="s">
        <v>3</v>
      </c>
      <c r="J1940">
        <v>3</v>
      </c>
      <c r="K1940" t="s">
        <v>4</v>
      </c>
      <c r="L1940" t="s">
        <v>18</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5">
      <c r="A1941" t="s">
        <v>2026</v>
      </c>
      <c r="B1941" t="s">
        <v>52</v>
      </c>
      <c r="C1941">
        <v>11</v>
      </c>
      <c r="D1941">
        <v>29.5</v>
      </c>
      <c r="E1941">
        <v>324.5</v>
      </c>
      <c r="F1941" s="1">
        <v>45728</v>
      </c>
      <c r="G1941" s="1">
        <v>45729</v>
      </c>
      <c r="H1941" t="s">
        <v>8</v>
      </c>
      <c r="I1941" t="s">
        <v>3</v>
      </c>
      <c r="J1941">
        <v>4</v>
      </c>
      <c r="K1941" t="s">
        <v>4</v>
      </c>
      <c r="L1941" t="s">
        <v>18</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5">
      <c r="A1942" t="s">
        <v>2027</v>
      </c>
      <c r="B1942" t="s">
        <v>108</v>
      </c>
      <c r="C1942">
        <v>7</v>
      </c>
      <c r="D1942">
        <v>37.9</v>
      </c>
      <c r="E1942">
        <v>265.3</v>
      </c>
      <c r="F1942" s="1">
        <v>45728</v>
      </c>
      <c r="G1942" s="1">
        <v>45729</v>
      </c>
      <c r="H1942" t="s">
        <v>8</v>
      </c>
      <c r="I1942" t="s">
        <v>20</v>
      </c>
      <c r="J1942">
        <v>4</v>
      </c>
      <c r="K1942" t="s">
        <v>4</v>
      </c>
      <c r="L1942" t="s">
        <v>18</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5">
      <c r="A1943" t="s">
        <v>2028</v>
      </c>
      <c r="B1943" t="s">
        <v>11</v>
      </c>
      <c r="C1943">
        <v>1</v>
      </c>
      <c r="D1943">
        <v>56.5</v>
      </c>
      <c r="E1943">
        <v>56.5</v>
      </c>
      <c r="F1943" s="1">
        <v>45728</v>
      </c>
      <c r="G1943" s="1">
        <v>45729</v>
      </c>
      <c r="H1943" t="s">
        <v>12</v>
      </c>
      <c r="I1943" t="s">
        <v>25</v>
      </c>
      <c r="J1943">
        <v>3</v>
      </c>
      <c r="K1943" t="s">
        <v>4</v>
      </c>
      <c r="L1943" t="s">
        <v>18</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5">
      <c r="A1944" t="s">
        <v>2029</v>
      </c>
      <c r="B1944" t="s">
        <v>11</v>
      </c>
      <c r="C1944">
        <v>2</v>
      </c>
      <c r="D1944">
        <v>66.900000000000006</v>
      </c>
      <c r="E1944">
        <v>133.80000000000001</v>
      </c>
      <c r="F1944" s="1">
        <v>45728</v>
      </c>
      <c r="G1944" s="1">
        <v>45734</v>
      </c>
      <c r="H1944" t="s">
        <v>8</v>
      </c>
      <c r="I1944" t="s">
        <v>20</v>
      </c>
      <c r="J1944">
        <v>2</v>
      </c>
      <c r="K1944" t="s">
        <v>4</v>
      </c>
      <c r="L1944" t="s">
        <v>173</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5">
      <c r="A1945" t="s">
        <v>2030</v>
      </c>
      <c r="B1945" t="s">
        <v>11</v>
      </c>
      <c r="C1945">
        <v>5</v>
      </c>
      <c r="D1945">
        <v>51.9</v>
      </c>
      <c r="E1945">
        <v>259.5</v>
      </c>
      <c r="F1945" s="1">
        <v>45728</v>
      </c>
      <c r="G1945" s="1">
        <v>45731</v>
      </c>
      <c r="H1945" t="s">
        <v>8</v>
      </c>
      <c r="I1945" t="s">
        <v>20</v>
      </c>
      <c r="J1945">
        <v>4</v>
      </c>
      <c r="K1945" t="s">
        <v>4</v>
      </c>
      <c r="L1945" t="s">
        <v>44</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5">
      <c r="A1946" t="s">
        <v>2031</v>
      </c>
      <c r="B1946" t="s">
        <v>11</v>
      </c>
      <c r="C1946">
        <v>2</v>
      </c>
      <c r="D1946">
        <v>75.599999999999994</v>
      </c>
      <c r="E1946">
        <v>151.19999999999999</v>
      </c>
      <c r="F1946" s="1">
        <v>45728</v>
      </c>
      <c r="G1946" s="1">
        <v>45731</v>
      </c>
      <c r="H1946" t="s">
        <v>8</v>
      </c>
      <c r="I1946" t="s">
        <v>20</v>
      </c>
      <c r="J1946">
        <v>4</v>
      </c>
      <c r="K1946" t="s">
        <v>4</v>
      </c>
      <c r="L1946" t="s">
        <v>47</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5">
      <c r="A1947" t="s">
        <v>2032</v>
      </c>
      <c r="B1947" t="s">
        <v>54</v>
      </c>
      <c r="C1947">
        <v>6</v>
      </c>
      <c r="D1947">
        <v>47.3</v>
      </c>
      <c r="E1947">
        <v>283.79999999999995</v>
      </c>
      <c r="F1947" s="1">
        <v>45728</v>
      </c>
      <c r="G1947" s="1">
        <v>45739</v>
      </c>
      <c r="H1947" t="s">
        <v>8</v>
      </c>
      <c r="I1947" t="s">
        <v>3</v>
      </c>
      <c r="J1947">
        <v>4</v>
      </c>
      <c r="K1947" t="s">
        <v>4</v>
      </c>
      <c r="L1947" t="s">
        <v>47</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5">
      <c r="A1948" t="s">
        <v>2033</v>
      </c>
      <c r="B1948" t="s">
        <v>17</v>
      </c>
      <c r="C1948">
        <v>1</v>
      </c>
      <c r="D1948">
        <v>20.6</v>
      </c>
      <c r="E1948">
        <v>20.6</v>
      </c>
      <c r="F1948" s="1">
        <v>45728</v>
      </c>
      <c r="G1948" s="1">
        <v>45729</v>
      </c>
      <c r="H1948" t="s">
        <v>2</v>
      </c>
      <c r="I1948" t="s">
        <v>3</v>
      </c>
      <c r="J1948">
        <v>3</v>
      </c>
      <c r="K1948" t="s">
        <v>4</v>
      </c>
      <c r="L1948" t="s">
        <v>47</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5">
      <c r="A1949" t="s">
        <v>2034</v>
      </c>
      <c r="B1949" t="s">
        <v>24</v>
      </c>
      <c r="C1949">
        <v>3</v>
      </c>
      <c r="D1949">
        <v>49.7</v>
      </c>
      <c r="E1949">
        <v>149.10000000000002</v>
      </c>
      <c r="F1949" s="1">
        <v>45728</v>
      </c>
      <c r="G1949" s="1">
        <v>45730</v>
      </c>
      <c r="H1949" t="s">
        <v>8</v>
      </c>
      <c r="I1949" t="s">
        <v>3</v>
      </c>
      <c r="J1949">
        <v>3</v>
      </c>
      <c r="K1949" t="s">
        <v>4</v>
      </c>
      <c r="L1949" t="s">
        <v>47</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5">
      <c r="A1950" t="s">
        <v>2035</v>
      </c>
      <c r="B1950" t="s">
        <v>15</v>
      </c>
      <c r="C1950">
        <v>1</v>
      </c>
      <c r="D1950">
        <v>37.9</v>
      </c>
      <c r="E1950">
        <v>37.9</v>
      </c>
      <c r="F1950" s="1">
        <v>45728</v>
      </c>
      <c r="G1950" s="1">
        <v>45730</v>
      </c>
      <c r="H1950" t="s">
        <v>12</v>
      </c>
      <c r="I1950" t="s">
        <v>3</v>
      </c>
      <c r="J1950">
        <v>4</v>
      </c>
      <c r="K1950" t="s">
        <v>4</v>
      </c>
      <c r="L1950" t="s">
        <v>47</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5">
      <c r="A1951" t="s">
        <v>2036</v>
      </c>
      <c r="B1951" t="s">
        <v>61</v>
      </c>
      <c r="C1951">
        <v>15</v>
      </c>
      <c r="D1951">
        <v>32</v>
      </c>
      <c r="E1951">
        <v>480</v>
      </c>
      <c r="F1951" s="1">
        <v>45728</v>
      </c>
      <c r="G1951" s="1">
        <v>45730</v>
      </c>
      <c r="H1951" t="s">
        <v>12</v>
      </c>
      <c r="I1951" t="s">
        <v>55</v>
      </c>
      <c r="J1951">
        <v>4</v>
      </c>
      <c r="K1951" t="s">
        <v>4</v>
      </c>
      <c r="L1951" t="s">
        <v>62</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5">
      <c r="A1952" t="s">
        <v>2037</v>
      </c>
      <c r="B1952" t="s">
        <v>39</v>
      </c>
      <c r="C1952">
        <v>18</v>
      </c>
      <c r="D1952">
        <v>38.5</v>
      </c>
      <c r="E1952">
        <v>693</v>
      </c>
      <c r="F1952" s="1">
        <v>45729</v>
      </c>
      <c r="G1952" s="1">
        <v>45730</v>
      </c>
      <c r="H1952" t="s">
        <v>8</v>
      </c>
      <c r="I1952" t="s">
        <v>3</v>
      </c>
      <c r="J1952">
        <v>5</v>
      </c>
      <c r="K1952" t="s">
        <v>4</v>
      </c>
      <c r="L1952" t="s">
        <v>62</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5">
      <c r="A1953" t="s">
        <v>2038</v>
      </c>
      <c r="B1953" t="s">
        <v>1</v>
      </c>
      <c r="C1953">
        <v>4</v>
      </c>
      <c r="D1953">
        <v>11.7</v>
      </c>
      <c r="E1953">
        <v>46.8</v>
      </c>
      <c r="F1953" s="1">
        <v>45729</v>
      </c>
      <c r="G1953" s="1">
        <v>45731</v>
      </c>
      <c r="H1953" t="s">
        <v>12</v>
      </c>
      <c r="I1953" t="s">
        <v>20</v>
      </c>
      <c r="J1953">
        <v>4</v>
      </c>
      <c r="K1953" t="s">
        <v>4</v>
      </c>
      <c r="L1953" t="s">
        <v>98</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5">
      <c r="A1954" t="s">
        <v>2039</v>
      </c>
      <c r="B1954" t="s">
        <v>15</v>
      </c>
      <c r="C1954">
        <v>6</v>
      </c>
      <c r="D1954">
        <v>83.8</v>
      </c>
      <c r="E1954">
        <v>502.79999999999995</v>
      </c>
      <c r="F1954" s="1">
        <v>45729</v>
      </c>
      <c r="G1954" s="1">
        <v>45730</v>
      </c>
      <c r="H1954" t="s">
        <v>8</v>
      </c>
      <c r="I1954" t="s">
        <v>3</v>
      </c>
      <c r="J1954">
        <v>4</v>
      </c>
      <c r="K1954" t="s">
        <v>4</v>
      </c>
      <c r="L1954" t="s">
        <v>100</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5">
      <c r="A1955" t="s">
        <v>2040</v>
      </c>
      <c r="B1955" t="s">
        <v>1</v>
      </c>
      <c r="C1955">
        <v>7</v>
      </c>
      <c r="D1955">
        <v>14</v>
      </c>
      <c r="E1955">
        <v>98</v>
      </c>
      <c r="F1955" s="1">
        <v>45729</v>
      </c>
      <c r="G1955" s="1">
        <v>45732</v>
      </c>
      <c r="H1955" t="s">
        <v>8</v>
      </c>
      <c r="I1955" t="s">
        <v>3</v>
      </c>
      <c r="J1955">
        <v>3</v>
      </c>
      <c r="K1955" t="s">
        <v>4</v>
      </c>
      <c r="L1955" t="s">
        <v>132</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5">
      <c r="A1956" t="s">
        <v>2041</v>
      </c>
      <c r="B1956" t="s">
        <v>113</v>
      </c>
      <c r="C1956">
        <v>4</v>
      </c>
      <c r="D1956">
        <v>77.3</v>
      </c>
      <c r="E1956">
        <v>309.2</v>
      </c>
      <c r="F1956" s="1">
        <v>45729</v>
      </c>
      <c r="G1956" s="1">
        <v>45731</v>
      </c>
      <c r="H1956" t="s">
        <v>12</v>
      </c>
      <c r="I1956" t="s">
        <v>55</v>
      </c>
      <c r="J1956">
        <v>5</v>
      </c>
      <c r="K1956" t="s">
        <v>4</v>
      </c>
      <c r="L1956" t="s">
        <v>18</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5">
      <c r="A1957" t="s">
        <v>2042</v>
      </c>
      <c r="B1957" t="s">
        <v>11</v>
      </c>
      <c r="C1957">
        <v>2</v>
      </c>
      <c r="D1957">
        <v>76.900000000000006</v>
      </c>
      <c r="E1957">
        <v>153.80000000000001</v>
      </c>
      <c r="F1957" s="1">
        <v>45729</v>
      </c>
      <c r="G1957" s="1">
        <v>45733</v>
      </c>
      <c r="H1957" t="s">
        <v>12</v>
      </c>
      <c r="I1957" t="s">
        <v>3</v>
      </c>
      <c r="J1957">
        <v>3</v>
      </c>
      <c r="K1957" t="s">
        <v>4</v>
      </c>
      <c r="L1957" t="s">
        <v>18</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5">
      <c r="A1958" t="s">
        <v>2043</v>
      </c>
      <c r="B1958" t="s">
        <v>7</v>
      </c>
      <c r="C1958">
        <v>1</v>
      </c>
      <c r="D1958">
        <v>48</v>
      </c>
      <c r="E1958">
        <v>48</v>
      </c>
      <c r="F1958" s="1">
        <v>45729</v>
      </c>
      <c r="G1958" s="1">
        <v>45731</v>
      </c>
      <c r="H1958" t="s">
        <v>12</v>
      </c>
      <c r="I1958" t="s">
        <v>20</v>
      </c>
      <c r="J1958">
        <v>5</v>
      </c>
      <c r="K1958" t="s">
        <v>4</v>
      </c>
      <c r="L1958" t="s">
        <v>18</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5">
      <c r="A1959" t="s">
        <v>2044</v>
      </c>
      <c r="B1959" t="s">
        <v>11</v>
      </c>
      <c r="C1959">
        <v>1</v>
      </c>
      <c r="D1959">
        <v>94.5</v>
      </c>
      <c r="E1959">
        <v>94.5</v>
      </c>
      <c r="F1959" s="1">
        <v>45729</v>
      </c>
      <c r="G1959" s="1">
        <v>45732</v>
      </c>
      <c r="H1959" t="s">
        <v>8</v>
      </c>
      <c r="I1959" t="s">
        <v>20</v>
      </c>
      <c r="J1959">
        <v>3</v>
      </c>
      <c r="K1959" t="s">
        <v>4</v>
      </c>
      <c r="L1959" t="s">
        <v>18</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5">
      <c r="A1960" t="s">
        <v>2045</v>
      </c>
      <c r="B1960" t="s">
        <v>39</v>
      </c>
      <c r="C1960">
        <v>3</v>
      </c>
      <c r="D1960">
        <v>58.4</v>
      </c>
      <c r="E1960">
        <v>175.2</v>
      </c>
      <c r="F1960" s="1">
        <v>45729</v>
      </c>
      <c r="G1960" s="1">
        <v>45731</v>
      </c>
      <c r="H1960" t="s">
        <v>12</v>
      </c>
      <c r="I1960" t="s">
        <v>20</v>
      </c>
      <c r="J1960">
        <v>5</v>
      </c>
      <c r="K1960" t="s">
        <v>4</v>
      </c>
      <c r="L1960" t="s">
        <v>18</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5">
      <c r="A1961" t="s">
        <v>2046</v>
      </c>
      <c r="B1961" t="s">
        <v>27</v>
      </c>
      <c r="C1961">
        <v>13</v>
      </c>
      <c r="D1961">
        <v>42.2</v>
      </c>
      <c r="E1961">
        <v>548.6</v>
      </c>
      <c r="F1961" s="1">
        <v>45729</v>
      </c>
      <c r="G1961" s="1">
        <v>45729</v>
      </c>
      <c r="H1961" t="s">
        <v>8</v>
      </c>
      <c r="I1961" t="s">
        <v>3</v>
      </c>
      <c r="J1961">
        <v>4</v>
      </c>
      <c r="K1961" t="s">
        <v>4</v>
      </c>
      <c r="L1961" t="s">
        <v>173</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5">
      <c r="A1962" t="s">
        <v>2047</v>
      </c>
      <c r="B1962" t="s">
        <v>24</v>
      </c>
      <c r="C1962">
        <v>2</v>
      </c>
      <c r="D1962">
        <v>152.19999999999999</v>
      </c>
      <c r="E1962">
        <v>304.39999999999998</v>
      </c>
      <c r="F1962" s="1">
        <v>45729</v>
      </c>
      <c r="G1962" s="1">
        <v>45730</v>
      </c>
      <c r="H1962" t="s">
        <v>8</v>
      </c>
      <c r="I1962" t="s">
        <v>55</v>
      </c>
      <c r="J1962">
        <v>3</v>
      </c>
      <c r="K1962" t="s">
        <v>4</v>
      </c>
      <c r="L1962" t="s">
        <v>173</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5">
      <c r="A1963" t="s">
        <v>2048</v>
      </c>
      <c r="B1963" t="s">
        <v>24</v>
      </c>
      <c r="C1963">
        <v>24</v>
      </c>
      <c r="D1963">
        <v>72</v>
      </c>
      <c r="E1963">
        <v>1728</v>
      </c>
      <c r="F1963" s="1">
        <v>45729</v>
      </c>
      <c r="G1963" s="1">
        <v>45730</v>
      </c>
      <c r="H1963" t="s">
        <v>8</v>
      </c>
      <c r="I1963" t="s">
        <v>3</v>
      </c>
      <c r="J1963">
        <v>3</v>
      </c>
      <c r="K1963" t="s">
        <v>4</v>
      </c>
      <c r="L1963" t="s">
        <v>40</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5">
      <c r="A1964" t="s">
        <v>2049</v>
      </c>
      <c r="B1964" t="s">
        <v>7</v>
      </c>
      <c r="C1964">
        <v>23</v>
      </c>
      <c r="D1964">
        <v>70.900000000000006</v>
      </c>
      <c r="E1964">
        <v>1630.7</v>
      </c>
      <c r="F1964" s="1">
        <v>45729</v>
      </c>
      <c r="G1964" s="1">
        <v>45730</v>
      </c>
      <c r="H1964" t="s">
        <v>12</v>
      </c>
      <c r="I1964" t="s">
        <v>25</v>
      </c>
      <c r="J1964">
        <v>4</v>
      </c>
      <c r="K1964" t="s">
        <v>4</v>
      </c>
      <c r="L1964" t="s">
        <v>47</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5">
      <c r="A1965" t="s">
        <v>2050</v>
      </c>
      <c r="B1965" t="s">
        <v>11</v>
      </c>
      <c r="C1965">
        <v>2</v>
      </c>
      <c r="D1965">
        <v>53.7</v>
      </c>
      <c r="E1965">
        <v>107.4</v>
      </c>
      <c r="F1965" s="1">
        <v>45729</v>
      </c>
      <c r="G1965" s="1">
        <v>45730</v>
      </c>
      <c r="H1965" t="s">
        <v>8</v>
      </c>
      <c r="I1965" t="s">
        <v>25</v>
      </c>
      <c r="J1965">
        <v>5</v>
      </c>
      <c r="K1965" t="s">
        <v>4</v>
      </c>
      <c r="L1965" t="s">
        <v>47</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5">
      <c r="A1966" t="s">
        <v>2051</v>
      </c>
      <c r="B1966" t="s">
        <v>31</v>
      </c>
      <c r="C1966">
        <v>4</v>
      </c>
      <c r="D1966">
        <v>42.9</v>
      </c>
      <c r="E1966">
        <v>171.6</v>
      </c>
      <c r="F1966" s="1">
        <v>45729</v>
      </c>
      <c r="G1966" s="1">
        <v>45730</v>
      </c>
      <c r="H1966" t="s">
        <v>12</v>
      </c>
      <c r="I1966" t="s">
        <v>25</v>
      </c>
      <c r="J1966">
        <v>2</v>
      </c>
      <c r="K1966" t="s">
        <v>4</v>
      </c>
      <c r="L1966" t="s">
        <v>57</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5">
      <c r="A1967" t="s">
        <v>2052</v>
      </c>
      <c r="B1967" t="s">
        <v>11</v>
      </c>
      <c r="C1967">
        <v>7</v>
      </c>
      <c r="D1967">
        <v>107.5</v>
      </c>
      <c r="E1967">
        <v>752.5</v>
      </c>
      <c r="F1967" s="1">
        <v>45729</v>
      </c>
      <c r="G1967" s="1">
        <v>45730</v>
      </c>
      <c r="H1967" t="s">
        <v>8</v>
      </c>
      <c r="I1967" t="s">
        <v>20</v>
      </c>
      <c r="J1967">
        <v>4</v>
      </c>
      <c r="K1967" t="s">
        <v>4</v>
      </c>
      <c r="L1967" t="s">
        <v>62</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5">
      <c r="A1968" t="s">
        <v>2053</v>
      </c>
      <c r="B1968" t="s">
        <v>120</v>
      </c>
      <c r="C1968">
        <v>16</v>
      </c>
      <c r="D1968">
        <v>21.5</v>
      </c>
      <c r="E1968">
        <v>344</v>
      </c>
      <c r="F1968" s="1">
        <v>45729</v>
      </c>
      <c r="G1968" s="1">
        <v>45730</v>
      </c>
      <c r="H1968" t="s">
        <v>8</v>
      </c>
      <c r="I1968" t="s">
        <v>20</v>
      </c>
      <c r="J1968">
        <v>3</v>
      </c>
      <c r="K1968" t="s">
        <v>4</v>
      </c>
      <c r="L1968" t="s">
        <v>294</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5">
      <c r="A1969" t="s">
        <v>2054</v>
      </c>
      <c r="B1969" t="s">
        <v>15</v>
      </c>
      <c r="C1969">
        <v>5</v>
      </c>
      <c r="D1969">
        <v>85.3</v>
      </c>
      <c r="E1969">
        <v>426.5</v>
      </c>
      <c r="F1969" s="1">
        <v>45729</v>
      </c>
      <c r="G1969" s="1">
        <v>45731</v>
      </c>
      <c r="H1969" t="s">
        <v>12</v>
      </c>
      <c r="I1969" t="s">
        <v>36</v>
      </c>
      <c r="J1969">
        <v>4</v>
      </c>
      <c r="K1969" t="s">
        <v>4</v>
      </c>
      <c r="L1969" t="s">
        <v>93</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5">
      <c r="A1970" t="s">
        <v>2055</v>
      </c>
      <c r="B1970" t="s">
        <v>27</v>
      </c>
      <c r="C1970">
        <v>5</v>
      </c>
      <c r="D1970">
        <v>80.8</v>
      </c>
      <c r="E1970">
        <v>404</v>
      </c>
      <c r="F1970" s="1">
        <v>45729</v>
      </c>
      <c r="G1970" s="1">
        <v>45737</v>
      </c>
      <c r="H1970" t="s">
        <v>74</v>
      </c>
      <c r="I1970" t="s">
        <v>20</v>
      </c>
      <c r="J1970">
        <v>3</v>
      </c>
      <c r="K1970" t="s">
        <v>4</v>
      </c>
      <c r="L1970" t="s">
        <v>95</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5">
      <c r="A1971" t="s">
        <v>2056</v>
      </c>
      <c r="B1971" t="s">
        <v>11</v>
      </c>
      <c r="C1971">
        <v>3</v>
      </c>
      <c r="D1971">
        <v>123.1</v>
      </c>
      <c r="E1971">
        <v>369.29999999999995</v>
      </c>
      <c r="F1971" s="1">
        <v>45729</v>
      </c>
      <c r="G1971" s="1">
        <v>45731</v>
      </c>
      <c r="H1971" t="s">
        <v>2</v>
      </c>
      <c r="I1971" t="s">
        <v>25</v>
      </c>
      <c r="J1971">
        <v>4</v>
      </c>
      <c r="K1971" t="s">
        <v>4</v>
      </c>
      <c r="L1971" t="s">
        <v>100</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5">
      <c r="A1972" t="s">
        <v>2057</v>
      </c>
      <c r="B1972" t="s">
        <v>29</v>
      </c>
      <c r="C1972">
        <v>2</v>
      </c>
      <c r="D1972">
        <v>36.9</v>
      </c>
      <c r="E1972">
        <v>73.8</v>
      </c>
      <c r="F1972" s="1">
        <v>45729</v>
      </c>
      <c r="G1972" s="1">
        <v>45731</v>
      </c>
      <c r="H1972" t="s">
        <v>12</v>
      </c>
      <c r="I1972" t="s">
        <v>25</v>
      </c>
      <c r="J1972">
        <v>2</v>
      </c>
      <c r="K1972" t="s">
        <v>4</v>
      </c>
      <c r="L1972" t="s">
        <v>952</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5">
      <c r="A1973" t="s">
        <v>2058</v>
      </c>
      <c r="B1973" t="s">
        <v>52</v>
      </c>
      <c r="C1973">
        <v>5</v>
      </c>
      <c r="D1973">
        <v>40</v>
      </c>
      <c r="E1973">
        <v>200</v>
      </c>
      <c r="F1973" s="1">
        <v>45729</v>
      </c>
      <c r="G1973" s="1">
        <v>45730</v>
      </c>
      <c r="H1973" t="s">
        <v>8</v>
      </c>
      <c r="I1973" t="s">
        <v>3</v>
      </c>
      <c r="J1973">
        <v>4</v>
      </c>
      <c r="K1973" t="s">
        <v>4</v>
      </c>
      <c r="L1973" t="s">
        <v>9</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5">
      <c r="A1974" t="s">
        <v>2059</v>
      </c>
      <c r="B1974" t="s">
        <v>24</v>
      </c>
      <c r="C1974">
        <v>3</v>
      </c>
      <c r="D1974">
        <v>55.5</v>
      </c>
      <c r="E1974">
        <v>166.5</v>
      </c>
      <c r="F1974" s="1">
        <v>45729</v>
      </c>
      <c r="G1974" s="1">
        <v>45730</v>
      </c>
      <c r="H1974" t="s">
        <v>8</v>
      </c>
      <c r="I1974" t="s">
        <v>55</v>
      </c>
      <c r="J1974">
        <v>5</v>
      </c>
      <c r="K1974" t="s">
        <v>4</v>
      </c>
      <c r="L1974" t="s">
        <v>9</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5">
      <c r="A1975" t="s">
        <v>2060</v>
      </c>
      <c r="B1975" t="s">
        <v>1</v>
      </c>
      <c r="C1975">
        <v>4</v>
      </c>
      <c r="D1975">
        <v>20.5</v>
      </c>
      <c r="E1975">
        <v>82</v>
      </c>
      <c r="F1975" s="1">
        <v>45729</v>
      </c>
      <c r="G1975" s="1">
        <v>45733</v>
      </c>
      <c r="H1975" t="s">
        <v>12</v>
      </c>
      <c r="I1975" t="s">
        <v>55</v>
      </c>
      <c r="J1975">
        <v>4</v>
      </c>
      <c r="K1975" t="s">
        <v>4</v>
      </c>
      <c r="L1975" t="s">
        <v>9</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5">
      <c r="A1976" t="s">
        <v>2061</v>
      </c>
      <c r="B1976" t="s">
        <v>131</v>
      </c>
      <c r="C1976">
        <v>4</v>
      </c>
      <c r="D1976">
        <v>50.1</v>
      </c>
      <c r="E1976">
        <v>200.4</v>
      </c>
      <c r="F1976" s="1">
        <v>45729</v>
      </c>
      <c r="G1976" s="1">
        <v>45730</v>
      </c>
      <c r="H1976" t="s">
        <v>12</v>
      </c>
      <c r="I1976" t="s">
        <v>55</v>
      </c>
      <c r="J1976">
        <v>4</v>
      </c>
      <c r="K1976" t="s">
        <v>4</v>
      </c>
      <c r="L1976" t="s">
        <v>9</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5">
      <c r="A1977" t="s">
        <v>2062</v>
      </c>
      <c r="B1977" t="s">
        <v>31</v>
      </c>
      <c r="C1977">
        <v>1</v>
      </c>
      <c r="D1977">
        <v>35.9</v>
      </c>
      <c r="E1977">
        <v>35.9</v>
      </c>
      <c r="F1977" s="1">
        <v>45729</v>
      </c>
      <c r="G1977" s="1">
        <v>45731</v>
      </c>
      <c r="H1977" t="s">
        <v>8</v>
      </c>
      <c r="I1977" t="s">
        <v>20</v>
      </c>
      <c r="J1977">
        <v>5</v>
      </c>
      <c r="K1977" t="s">
        <v>4</v>
      </c>
      <c r="L1977" t="s">
        <v>9</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5">
      <c r="A1978" t="s">
        <v>2063</v>
      </c>
      <c r="B1978" t="s">
        <v>61</v>
      </c>
      <c r="C1978">
        <v>4</v>
      </c>
      <c r="D1978">
        <v>29.4</v>
      </c>
      <c r="E1978">
        <v>117.6</v>
      </c>
      <c r="F1978" s="1">
        <v>45730</v>
      </c>
      <c r="G1978" s="1">
        <v>45731</v>
      </c>
      <c r="H1978" t="s">
        <v>8</v>
      </c>
      <c r="I1978" t="s">
        <v>25</v>
      </c>
      <c r="J1978">
        <v>5</v>
      </c>
      <c r="K1978" t="s">
        <v>4</v>
      </c>
      <c r="L1978" t="s">
        <v>316</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5">
      <c r="A1979" t="s">
        <v>2064</v>
      </c>
      <c r="B1979" t="s">
        <v>29</v>
      </c>
      <c r="C1979">
        <v>5</v>
      </c>
      <c r="D1979">
        <v>29.1</v>
      </c>
      <c r="E1979">
        <v>145.5</v>
      </c>
      <c r="F1979" s="1">
        <v>45730</v>
      </c>
      <c r="G1979" s="1">
        <v>45738</v>
      </c>
      <c r="H1979" t="s">
        <v>74</v>
      </c>
      <c r="I1979" t="s">
        <v>25</v>
      </c>
      <c r="J1979">
        <v>3</v>
      </c>
      <c r="K1979" t="s">
        <v>4</v>
      </c>
      <c r="L1979" t="s">
        <v>316</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5">
      <c r="A1980" t="s">
        <v>2065</v>
      </c>
      <c r="B1980" t="s">
        <v>29</v>
      </c>
      <c r="C1980">
        <v>3</v>
      </c>
      <c r="D1980">
        <v>33.5</v>
      </c>
      <c r="E1980">
        <v>100.5</v>
      </c>
      <c r="F1980" s="1">
        <v>45730</v>
      </c>
      <c r="G1980" s="1">
        <v>45742</v>
      </c>
      <c r="H1980" t="s">
        <v>8</v>
      </c>
      <c r="I1980" t="s">
        <v>3</v>
      </c>
      <c r="J1980">
        <v>5</v>
      </c>
      <c r="K1980" t="s">
        <v>4</v>
      </c>
      <c r="L1980" t="s">
        <v>132</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5">
      <c r="A1981" t="s">
        <v>2066</v>
      </c>
      <c r="B1981" t="s">
        <v>17</v>
      </c>
      <c r="C1981">
        <v>10</v>
      </c>
      <c r="D1981">
        <v>36</v>
      </c>
      <c r="E1981">
        <v>360</v>
      </c>
      <c r="F1981" s="1">
        <v>45730</v>
      </c>
      <c r="G1981" s="1">
        <v>45730</v>
      </c>
      <c r="H1981" t="s">
        <v>8</v>
      </c>
      <c r="I1981" t="s">
        <v>36</v>
      </c>
      <c r="J1981">
        <v>5</v>
      </c>
      <c r="K1981" t="s">
        <v>4</v>
      </c>
      <c r="L1981" t="s">
        <v>18</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5">
      <c r="A1982" t="s">
        <v>2067</v>
      </c>
      <c r="B1982" t="s">
        <v>113</v>
      </c>
      <c r="C1982">
        <v>3</v>
      </c>
      <c r="D1982">
        <v>57.3</v>
      </c>
      <c r="E1982">
        <v>171.89999999999998</v>
      </c>
      <c r="F1982" s="1">
        <v>45730</v>
      </c>
      <c r="G1982" s="1">
        <v>45734</v>
      </c>
      <c r="H1982" t="s">
        <v>12</v>
      </c>
      <c r="I1982" t="s">
        <v>3</v>
      </c>
      <c r="J1982">
        <v>5</v>
      </c>
      <c r="K1982" t="s">
        <v>4</v>
      </c>
      <c r="L1982" t="s">
        <v>18</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5">
      <c r="A1983" t="s">
        <v>2068</v>
      </c>
      <c r="B1983" t="s">
        <v>7</v>
      </c>
      <c r="C1983">
        <v>1</v>
      </c>
      <c r="D1983">
        <v>81.400000000000006</v>
      </c>
      <c r="E1983">
        <v>81.400000000000006</v>
      </c>
      <c r="F1983" s="1">
        <v>45730</v>
      </c>
      <c r="G1983" s="1">
        <v>45731</v>
      </c>
      <c r="H1983" t="s">
        <v>12</v>
      </c>
      <c r="I1983" t="s">
        <v>25</v>
      </c>
      <c r="J1983">
        <v>5</v>
      </c>
      <c r="K1983" t="s">
        <v>4</v>
      </c>
      <c r="L1983" t="s">
        <v>18</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5">
      <c r="A1984" t="s">
        <v>2069</v>
      </c>
      <c r="B1984" t="s">
        <v>39</v>
      </c>
      <c r="C1984">
        <v>2</v>
      </c>
      <c r="D1984">
        <v>35.299999999999997</v>
      </c>
      <c r="E1984">
        <v>70.599999999999994</v>
      </c>
      <c r="F1984" s="1">
        <v>45730</v>
      </c>
      <c r="G1984" s="1">
        <v>45734</v>
      </c>
      <c r="H1984" t="s">
        <v>8</v>
      </c>
      <c r="I1984" t="s">
        <v>3</v>
      </c>
      <c r="J1984">
        <v>5</v>
      </c>
      <c r="K1984" t="s">
        <v>4</v>
      </c>
      <c r="L1984" t="s">
        <v>18</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5">
      <c r="A1985" t="s">
        <v>2070</v>
      </c>
      <c r="B1985" t="s">
        <v>15</v>
      </c>
      <c r="C1985">
        <v>1</v>
      </c>
      <c r="D1985">
        <v>36.1</v>
      </c>
      <c r="E1985">
        <v>36.1</v>
      </c>
      <c r="F1985" s="1">
        <v>45730</v>
      </c>
      <c r="G1985" s="1">
        <v>45731</v>
      </c>
      <c r="H1985" t="s">
        <v>12</v>
      </c>
      <c r="I1985" t="s">
        <v>55</v>
      </c>
      <c r="J1985">
        <v>4</v>
      </c>
      <c r="K1985" t="s">
        <v>4</v>
      </c>
      <c r="L1985" t="s">
        <v>18</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5">
      <c r="A1986" t="s">
        <v>2071</v>
      </c>
      <c r="B1986" t="s">
        <v>7</v>
      </c>
      <c r="C1986">
        <v>2</v>
      </c>
      <c r="D1986">
        <v>36.700000000000003</v>
      </c>
      <c r="E1986">
        <v>73.400000000000006</v>
      </c>
      <c r="F1986" s="1">
        <v>45730</v>
      </c>
      <c r="G1986" s="1">
        <v>45732</v>
      </c>
      <c r="H1986" t="s">
        <v>12</v>
      </c>
      <c r="I1986" t="s">
        <v>3</v>
      </c>
      <c r="J1986">
        <v>5</v>
      </c>
      <c r="K1986" t="s">
        <v>4</v>
      </c>
      <c r="L1986" t="s">
        <v>18</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5">
      <c r="A1987" t="s">
        <v>2072</v>
      </c>
      <c r="B1987" t="s">
        <v>39</v>
      </c>
      <c r="C1987">
        <v>1</v>
      </c>
      <c r="D1987">
        <v>20.9</v>
      </c>
      <c r="E1987">
        <v>20.9</v>
      </c>
      <c r="F1987" s="1">
        <v>45730</v>
      </c>
      <c r="G1987" s="1">
        <v>45732</v>
      </c>
      <c r="H1987" t="s">
        <v>12</v>
      </c>
      <c r="I1987" t="s">
        <v>3</v>
      </c>
      <c r="J1987">
        <v>2</v>
      </c>
      <c r="K1987" t="s">
        <v>4</v>
      </c>
      <c r="L1987" t="s">
        <v>18</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5">
      <c r="A1988" t="s">
        <v>2073</v>
      </c>
      <c r="B1988" t="s">
        <v>54</v>
      </c>
      <c r="C1988">
        <v>3</v>
      </c>
      <c r="D1988">
        <v>58.8</v>
      </c>
      <c r="E1988">
        <v>176.39999999999998</v>
      </c>
      <c r="F1988" s="1">
        <v>45730</v>
      </c>
      <c r="G1988" s="1">
        <v>45734</v>
      </c>
      <c r="H1988" t="s">
        <v>8</v>
      </c>
      <c r="I1988" t="s">
        <v>3</v>
      </c>
      <c r="J1988">
        <v>5</v>
      </c>
      <c r="K1988" t="s">
        <v>4</v>
      </c>
      <c r="L1988" t="s">
        <v>173</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5">
      <c r="A1989" t="s">
        <v>2074</v>
      </c>
      <c r="B1989" t="s">
        <v>11</v>
      </c>
      <c r="C1989">
        <v>3</v>
      </c>
      <c r="D1989">
        <v>97.6</v>
      </c>
      <c r="E1989">
        <v>292.79999999999995</v>
      </c>
      <c r="F1989" s="1">
        <v>45731</v>
      </c>
      <c r="G1989" s="1">
        <v>45733</v>
      </c>
      <c r="H1989" t="s">
        <v>2</v>
      </c>
      <c r="I1989" t="s">
        <v>3</v>
      </c>
      <c r="J1989">
        <v>4</v>
      </c>
      <c r="K1989" t="s">
        <v>4</v>
      </c>
      <c r="L1989" t="s">
        <v>40</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5">
      <c r="A1990" t="s">
        <v>2075</v>
      </c>
      <c r="B1990" t="s">
        <v>7</v>
      </c>
      <c r="C1990">
        <v>2</v>
      </c>
      <c r="D1990">
        <v>58.7</v>
      </c>
      <c r="E1990">
        <v>117.4</v>
      </c>
      <c r="F1990" s="1">
        <v>45731</v>
      </c>
      <c r="G1990" s="1">
        <v>45734</v>
      </c>
      <c r="H1990" t="s">
        <v>12</v>
      </c>
      <c r="I1990" t="s">
        <v>3</v>
      </c>
      <c r="J1990">
        <v>3</v>
      </c>
      <c r="K1990" t="s">
        <v>4</v>
      </c>
      <c r="L1990" t="s">
        <v>40</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5">
      <c r="A1991" t="s">
        <v>2076</v>
      </c>
      <c r="B1991" t="s">
        <v>24</v>
      </c>
      <c r="C1991">
        <v>5</v>
      </c>
      <c r="D1991">
        <v>71.900000000000006</v>
      </c>
      <c r="E1991">
        <v>359.5</v>
      </c>
      <c r="F1991" s="1">
        <v>45731</v>
      </c>
      <c r="G1991" s="1">
        <v>45732</v>
      </c>
      <c r="H1991" t="s">
        <v>2</v>
      </c>
      <c r="I1991" t="s">
        <v>3</v>
      </c>
      <c r="J1991">
        <v>3</v>
      </c>
      <c r="K1991" t="s">
        <v>4</v>
      </c>
      <c r="L1991" t="s">
        <v>40</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5">
      <c r="A1992" t="s">
        <v>2077</v>
      </c>
      <c r="B1992" t="s">
        <v>7</v>
      </c>
      <c r="C1992">
        <v>2</v>
      </c>
      <c r="D1992">
        <v>62.4</v>
      </c>
      <c r="E1992">
        <v>124.8</v>
      </c>
      <c r="F1992" s="1">
        <v>45731</v>
      </c>
      <c r="G1992" s="1">
        <v>45733</v>
      </c>
      <c r="H1992" t="s">
        <v>2</v>
      </c>
      <c r="I1992" t="s">
        <v>3</v>
      </c>
      <c r="J1992">
        <v>3</v>
      </c>
      <c r="K1992" t="s">
        <v>4</v>
      </c>
      <c r="L1992" t="s">
        <v>47</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5">
      <c r="A1993" t="s">
        <v>2078</v>
      </c>
      <c r="B1993" t="s">
        <v>24</v>
      </c>
      <c r="C1993">
        <v>16</v>
      </c>
      <c r="D1993">
        <v>53.8</v>
      </c>
      <c r="E1993">
        <v>860.8</v>
      </c>
      <c r="F1993" s="1">
        <v>45731</v>
      </c>
      <c r="G1993" s="1">
        <v>45732</v>
      </c>
      <c r="H1993" t="s">
        <v>12</v>
      </c>
      <c r="I1993" t="s">
        <v>20</v>
      </c>
      <c r="J1993">
        <v>4</v>
      </c>
      <c r="K1993" t="s">
        <v>4</v>
      </c>
      <c r="L1993" t="s">
        <v>47</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5">
      <c r="A1994" t="s">
        <v>2079</v>
      </c>
      <c r="B1994" t="s">
        <v>31</v>
      </c>
      <c r="C1994">
        <v>1</v>
      </c>
      <c r="D1994">
        <v>43.8</v>
      </c>
      <c r="E1994">
        <v>43.8</v>
      </c>
      <c r="F1994" s="1">
        <v>45731</v>
      </c>
      <c r="G1994" s="1">
        <v>45738</v>
      </c>
      <c r="H1994" t="s">
        <v>12</v>
      </c>
      <c r="I1994" t="s">
        <v>3</v>
      </c>
      <c r="J1994">
        <v>5</v>
      </c>
      <c r="K1994" t="s">
        <v>4</v>
      </c>
      <c r="L1994" t="s">
        <v>47</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5">
      <c r="A1995" t="s">
        <v>2080</v>
      </c>
      <c r="B1995" t="s">
        <v>22</v>
      </c>
      <c r="C1995">
        <v>3</v>
      </c>
      <c r="D1995">
        <v>53.6</v>
      </c>
      <c r="E1995">
        <v>160.80000000000001</v>
      </c>
      <c r="F1995" s="1">
        <v>45731</v>
      </c>
      <c r="G1995" s="1">
        <v>45732</v>
      </c>
      <c r="H1995" t="s">
        <v>8</v>
      </c>
      <c r="I1995" t="s">
        <v>36</v>
      </c>
      <c r="J1995">
        <v>4</v>
      </c>
      <c r="K1995" t="s">
        <v>4</v>
      </c>
      <c r="L1995" t="s">
        <v>47</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5">
      <c r="A1996" t="s">
        <v>2081</v>
      </c>
      <c r="B1996" t="s">
        <v>54</v>
      </c>
      <c r="C1996">
        <v>2</v>
      </c>
      <c r="D1996">
        <v>84.3</v>
      </c>
      <c r="E1996">
        <v>168.6</v>
      </c>
      <c r="F1996" s="1">
        <v>45731</v>
      </c>
      <c r="G1996" s="1">
        <v>45734</v>
      </c>
      <c r="H1996" t="s">
        <v>8</v>
      </c>
      <c r="I1996" t="s">
        <v>55</v>
      </c>
      <c r="J1996">
        <v>3</v>
      </c>
      <c r="K1996" t="s">
        <v>4</v>
      </c>
      <c r="L1996" t="s">
        <v>47</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5">
      <c r="A1997" t="s">
        <v>2082</v>
      </c>
      <c r="B1997" t="s">
        <v>24</v>
      </c>
      <c r="C1997">
        <v>9</v>
      </c>
      <c r="D1997">
        <v>117.9</v>
      </c>
      <c r="E1997">
        <v>1061.1000000000001</v>
      </c>
      <c r="F1997" s="1">
        <v>45731</v>
      </c>
      <c r="G1997" s="1">
        <v>45732</v>
      </c>
      <c r="H1997" t="s">
        <v>12</v>
      </c>
      <c r="I1997" t="s">
        <v>20</v>
      </c>
      <c r="J1997">
        <v>5</v>
      </c>
      <c r="K1997" t="s">
        <v>4</v>
      </c>
      <c r="L1997" t="s">
        <v>47</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5">
      <c r="A1998" t="s">
        <v>2083</v>
      </c>
      <c r="B1998" t="s">
        <v>17</v>
      </c>
      <c r="C1998">
        <v>8</v>
      </c>
      <c r="D1998">
        <v>30</v>
      </c>
      <c r="E1998">
        <v>240</v>
      </c>
      <c r="F1998" s="1">
        <v>45731</v>
      </c>
      <c r="G1998" s="1">
        <v>45732</v>
      </c>
      <c r="H1998" t="s">
        <v>12</v>
      </c>
      <c r="I1998" t="s">
        <v>20</v>
      </c>
      <c r="J1998">
        <v>4</v>
      </c>
      <c r="K1998" t="s">
        <v>4</v>
      </c>
      <c r="L1998" t="s">
        <v>186</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5">
      <c r="A1999" t="s">
        <v>2084</v>
      </c>
      <c r="B1999" t="s">
        <v>66</v>
      </c>
      <c r="C1999">
        <v>3</v>
      </c>
      <c r="D1999">
        <v>37.299999999999997</v>
      </c>
      <c r="E1999">
        <v>111.89999999999999</v>
      </c>
      <c r="F1999" s="1">
        <v>45731</v>
      </c>
      <c r="G1999" s="1">
        <v>45732</v>
      </c>
      <c r="H1999" t="s">
        <v>8</v>
      </c>
      <c r="I1999" t="s">
        <v>25</v>
      </c>
      <c r="J1999">
        <v>4</v>
      </c>
      <c r="K1999" t="s">
        <v>4</v>
      </c>
      <c r="L1999" t="s">
        <v>57</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5">
      <c r="A2000" t="s">
        <v>2085</v>
      </c>
      <c r="B2000" t="s">
        <v>17</v>
      </c>
      <c r="C2000">
        <v>9</v>
      </c>
      <c r="D2000">
        <v>25.1</v>
      </c>
      <c r="E2000">
        <v>225.9</v>
      </c>
      <c r="F2000" s="1">
        <v>45731</v>
      </c>
      <c r="G2000" s="1">
        <v>45733</v>
      </c>
      <c r="H2000" t="s">
        <v>8</v>
      </c>
      <c r="I2000" t="s">
        <v>20</v>
      </c>
      <c r="J2000">
        <v>5</v>
      </c>
      <c r="K2000" t="s">
        <v>4</v>
      </c>
      <c r="L2000" t="s">
        <v>62</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5">
      <c r="A2001" t="s">
        <v>2086</v>
      </c>
      <c r="B2001" t="s">
        <v>29</v>
      </c>
      <c r="C2001">
        <v>11</v>
      </c>
      <c r="D2001">
        <v>36</v>
      </c>
      <c r="E2001">
        <v>396</v>
      </c>
      <c r="F2001" s="1">
        <v>45731</v>
      </c>
      <c r="G2001" s="1">
        <v>45741</v>
      </c>
      <c r="H2001" t="s">
        <v>8</v>
      </c>
      <c r="I2001" t="s">
        <v>20</v>
      </c>
      <c r="J2001">
        <v>4</v>
      </c>
      <c r="K2001" t="s">
        <v>4</v>
      </c>
      <c r="L2001" t="s">
        <v>93</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5">
      <c r="A2002" t="s">
        <v>2087</v>
      </c>
      <c r="B2002" t="s">
        <v>113</v>
      </c>
      <c r="C2002">
        <v>3</v>
      </c>
      <c r="D2002">
        <v>48.5</v>
      </c>
      <c r="E2002">
        <v>145.5</v>
      </c>
      <c r="F2002" s="1">
        <v>45731</v>
      </c>
      <c r="G2002" s="1">
        <v>45735</v>
      </c>
      <c r="H2002" t="s">
        <v>12</v>
      </c>
      <c r="I2002" t="s">
        <v>20</v>
      </c>
      <c r="J2002">
        <v>4</v>
      </c>
      <c r="K2002" t="s">
        <v>4</v>
      </c>
      <c r="L2002" t="s">
        <v>95</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5">
      <c r="A2003" t="s">
        <v>2088</v>
      </c>
      <c r="B2003" t="s">
        <v>120</v>
      </c>
      <c r="C2003">
        <v>6</v>
      </c>
      <c r="D2003">
        <v>21.1</v>
      </c>
      <c r="E2003">
        <v>126.60000000000001</v>
      </c>
      <c r="F2003" s="1">
        <v>45731</v>
      </c>
      <c r="G2003" s="1">
        <v>45732</v>
      </c>
      <c r="H2003" t="s">
        <v>8</v>
      </c>
      <c r="I2003" t="s">
        <v>20</v>
      </c>
      <c r="J2003">
        <v>5</v>
      </c>
      <c r="K2003" t="s">
        <v>4</v>
      </c>
      <c r="L2003" t="s">
        <v>100</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5">
      <c r="A2004" t="s">
        <v>2089</v>
      </c>
      <c r="B2004" t="s">
        <v>108</v>
      </c>
      <c r="C2004">
        <v>14</v>
      </c>
      <c r="D2004">
        <v>43.2</v>
      </c>
      <c r="E2004">
        <v>604.80000000000007</v>
      </c>
      <c r="F2004" s="1">
        <v>45731</v>
      </c>
      <c r="G2004" s="1">
        <v>45732</v>
      </c>
      <c r="H2004" t="s">
        <v>74</v>
      </c>
      <c r="I2004" t="s">
        <v>3</v>
      </c>
      <c r="J2004">
        <v>3</v>
      </c>
      <c r="K2004" t="s">
        <v>4</v>
      </c>
      <c r="L2004" t="s">
        <v>100</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5">
      <c r="A2005" t="s">
        <v>2090</v>
      </c>
      <c r="B2005" t="s">
        <v>31</v>
      </c>
      <c r="C2005">
        <v>2</v>
      </c>
      <c r="D2005">
        <v>21.1</v>
      </c>
      <c r="E2005">
        <v>42.2</v>
      </c>
      <c r="F2005" s="1">
        <v>45731</v>
      </c>
      <c r="G2005" s="1">
        <v>45732</v>
      </c>
      <c r="H2005" t="s">
        <v>2</v>
      </c>
      <c r="I2005" t="s">
        <v>36</v>
      </c>
      <c r="J2005">
        <v>3</v>
      </c>
      <c r="K2005" t="s">
        <v>4</v>
      </c>
      <c r="L2005" t="s">
        <v>100</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5">
      <c r="A2006" t="s">
        <v>2091</v>
      </c>
      <c r="B2006" t="s">
        <v>24</v>
      </c>
      <c r="C2006">
        <v>4</v>
      </c>
      <c r="D2006">
        <v>41.3</v>
      </c>
      <c r="E2006">
        <v>165.2</v>
      </c>
      <c r="F2006" s="1">
        <v>45731</v>
      </c>
      <c r="G2006" s="1">
        <v>45733</v>
      </c>
      <c r="H2006" t="s">
        <v>12</v>
      </c>
      <c r="I2006" t="s">
        <v>36</v>
      </c>
      <c r="J2006">
        <v>5</v>
      </c>
      <c r="K2006" t="s">
        <v>4</v>
      </c>
      <c r="L2006" t="s">
        <v>9</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5">
      <c r="A2007" t="s">
        <v>2092</v>
      </c>
      <c r="B2007" t="s">
        <v>29</v>
      </c>
      <c r="C2007">
        <v>2</v>
      </c>
      <c r="D2007">
        <v>15.3</v>
      </c>
      <c r="E2007">
        <v>30.6</v>
      </c>
      <c r="F2007" s="1">
        <v>45731</v>
      </c>
      <c r="G2007" s="1">
        <v>45734</v>
      </c>
      <c r="H2007" t="s">
        <v>2</v>
      </c>
      <c r="I2007" t="s">
        <v>25</v>
      </c>
      <c r="J2007">
        <v>5</v>
      </c>
      <c r="K2007" t="s">
        <v>4</v>
      </c>
      <c r="L2007" t="s">
        <v>9</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5">
      <c r="A2008" t="s">
        <v>2093</v>
      </c>
      <c r="B2008" t="s">
        <v>7</v>
      </c>
      <c r="C2008">
        <v>1</v>
      </c>
      <c r="D2008">
        <v>54.6</v>
      </c>
      <c r="E2008">
        <v>54.6</v>
      </c>
      <c r="F2008" s="1">
        <v>45731</v>
      </c>
      <c r="G2008" s="1">
        <v>45733</v>
      </c>
      <c r="H2008" t="s">
        <v>8</v>
      </c>
      <c r="I2008" t="s">
        <v>20</v>
      </c>
      <c r="J2008">
        <v>3</v>
      </c>
      <c r="K2008" t="s">
        <v>4</v>
      </c>
      <c r="L2008" t="s">
        <v>13</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5">
      <c r="A2009" t="s">
        <v>2094</v>
      </c>
      <c r="B2009" t="s">
        <v>29</v>
      </c>
      <c r="C2009">
        <v>1</v>
      </c>
      <c r="D2009">
        <v>15.9</v>
      </c>
      <c r="E2009">
        <v>15.9</v>
      </c>
      <c r="F2009" s="1">
        <v>45731</v>
      </c>
      <c r="G2009" s="1">
        <v>45732</v>
      </c>
      <c r="H2009" t="s">
        <v>8</v>
      </c>
      <c r="I2009" t="s">
        <v>3</v>
      </c>
      <c r="J2009">
        <v>3</v>
      </c>
      <c r="K2009" t="s">
        <v>4</v>
      </c>
      <c r="L2009" t="s">
        <v>132</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5">
      <c r="A2010" t="s">
        <v>2095</v>
      </c>
      <c r="B2010" t="s">
        <v>31</v>
      </c>
      <c r="C2010">
        <v>1</v>
      </c>
      <c r="D2010">
        <v>50.2</v>
      </c>
      <c r="E2010">
        <v>50.2</v>
      </c>
      <c r="F2010" s="1">
        <v>45731</v>
      </c>
      <c r="G2010" s="1">
        <v>45733</v>
      </c>
      <c r="H2010" t="s">
        <v>12</v>
      </c>
      <c r="I2010" t="s">
        <v>36</v>
      </c>
      <c r="J2010">
        <v>5</v>
      </c>
      <c r="K2010" t="s">
        <v>4</v>
      </c>
      <c r="L2010" t="s">
        <v>319</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5">
      <c r="A2011" t="s">
        <v>2096</v>
      </c>
      <c r="B2011" t="s">
        <v>52</v>
      </c>
      <c r="C2011">
        <v>4</v>
      </c>
      <c r="D2011">
        <v>85.1</v>
      </c>
      <c r="E2011">
        <v>340.4</v>
      </c>
      <c r="F2011" s="1">
        <v>45731</v>
      </c>
      <c r="G2011" s="1">
        <v>45732</v>
      </c>
      <c r="H2011" t="s">
        <v>12</v>
      </c>
      <c r="I2011" t="s">
        <v>36</v>
      </c>
      <c r="J2011">
        <v>2</v>
      </c>
      <c r="K2011" t="s">
        <v>4</v>
      </c>
      <c r="L2011" t="s">
        <v>319</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5">
      <c r="A2012" t="s">
        <v>2097</v>
      </c>
      <c r="B2012" t="s">
        <v>52</v>
      </c>
      <c r="C2012">
        <v>2</v>
      </c>
      <c r="D2012">
        <v>41.4</v>
      </c>
      <c r="E2012">
        <v>82.8</v>
      </c>
      <c r="F2012" s="1">
        <v>45731</v>
      </c>
      <c r="G2012" s="1">
        <v>45732</v>
      </c>
      <c r="H2012" t="s">
        <v>12</v>
      </c>
      <c r="I2012" t="s">
        <v>3</v>
      </c>
      <c r="J2012">
        <v>5</v>
      </c>
      <c r="K2012" t="s">
        <v>4</v>
      </c>
      <c r="L2012" t="s">
        <v>18</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5">
      <c r="A2013" t="s">
        <v>2098</v>
      </c>
      <c r="B2013" t="s">
        <v>17</v>
      </c>
      <c r="C2013">
        <v>7</v>
      </c>
      <c r="D2013">
        <v>32.700000000000003</v>
      </c>
      <c r="E2013">
        <v>228.90000000000003</v>
      </c>
      <c r="F2013" s="1">
        <v>45731</v>
      </c>
      <c r="G2013" s="1">
        <v>45732</v>
      </c>
      <c r="H2013" t="s">
        <v>12</v>
      </c>
      <c r="I2013" t="s">
        <v>25</v>
      </c>
      <c r="J2013">
        <v>3</v>
      </c>
      <c r="K2013" t="s">
        <v>4</v>
      </c>
      <c r="L2013" t="s">
        <v>18</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5">
      <c r="A2014" t="s">
        <v>2099</v>
      </c>
      <c r="B2014" t="s">
        <v>17</v>
      </c>
      <c r="C2014">
        <v>2</v>
      </c>
      <c r="D2014">
        <v>41.6</v>
      </c>
      <c r="E2014">
        <v>83.2</v>
      </c>
      <c r="F2014" s="1">
        <v>45731</v>
      </c>
      <c r="G2014" s="1">
        <v>45733</v>
      </c>
      <c r="H2014" t="s">
        <v>8</v>
      </c>
      <c r="I2014" t="s">
        <v>55</v>
      </c>
      <c r="J2014">
        <v>3</v>
      </c>
      <c r="K2014" t="s">
        <v>4</v>
      </c>
      <c r="L2014" t="s">
        <v>18</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5">
      <c r="A2015" t="s">
        <v>2100</v>
      </c>
      <c r="B2015" t="s">
        <v>22</v>
      </c>
      <c r="C2015">
        <v>4</v>
      </c>
      <c r="D2015">
        <v>64.8</v>
      </c>
      <c r="E2015">
        <v>259.2</v>
      </c>
      <c r="F2015" s="1">
        <v>45731</v>
      </c>
      <c r="G2015" s="1">
        <v>45732</v>
      </c>
      <c r="H2015" t="s">
        <v>2</v>
      </c>
      <c r="I2015" t="s">
        <v>25</v>
      </c>
      <c r="J2015">
        <v>4</v>
      </c>
      <c r="K2015" t="s">
        <v>4</v>
      </c>
      <c r="L2015" t="s">
        <v>18</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5">
      <c r="A2016" t="s">
        <v>2101</v>
      </c>
      <c r="B2016" t="s">
        <v>108</v>
      </c>
      <c r="C2016">
        <v>2</v>
      </c>
      <c r="D2016">
        <v>33.6</v>
      </c>
      <c r="E2016">
        <v>67.2</v>
      </c>
      <c r="F2016" s="1">
        <v>45731</v>
      </c>
      <c r="G2016" s="1">
        <v>45732</v>
      </c>
      <c r="H2016" t="s">
        <v>8</v>
      </c>
      <c r="I2016" t="s">
        <v>3</v>
      </c>
      <c r="J2016">
        <v>5</v>
      </c>
      <c r="K2016" t="s">
        <v>4</v>
      </c>
      <c r="L2016" t="s">
        <v>18</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5">
      <c r="A2017" t="s">
        <v>2102</v>
      </c>
      <c r="B2017" t="s">
        <v>24</v>
      </c>
      <c r="C2017">
        <v>3</v>
      </c>
      <c r="D2017">
        <v>100.7</v>
      </c>
      <c r="E2017">
        <v>302.10000000000002</v>
      </c>
      <c r="F2017" s="1">
        <v>45731</v>
      </c>
      <c r="G2017" s="1">
        <v>45732</v>
      </c>
      <c r="H2017" t="s">
        <v>2</v>
      </c>
      <c r="I2017" t="s">
        <v>20</v>
      </c>
      <c r="J2017">
        <v>4</v>
      </c>
      <c r="K2017" t="s">
        <v>4</v>
      </c>
      <c r="L2017" t="s">
        <v>18</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5">
      <c r="A2018" t="s">
        <v>2103</v>
      </c>
      <c r="B2018" t="s">
        <v>17</v>
      </c>
      <c r="C2018">
        <v>2</v>
      </c>
      <c r="D2018">
        <v>49.3</v>
      </c>
      <c r="E2018">
        <v>98.6</v>
      </c>
      <c r="F2018" s="1">
        <v>45732</v>
      </c>
      <c r="G2018" s="1">
        <v>45734</v>
      </c>
      <c r="H2018" t="s">
        <v>12</v>
      </c>
      <c r="I2018" t="s">
        <v>55</v>
      </c>
      <c r="J2018">
        <v>5</v>
      </c>
      <c r="K2018" t="s">
        <v>4</v>
      </c>
      <c r="L2018" t="s">
        <v>18</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5">
      <c r="A2019" t="s">
        <v>2104</v>
      </c>
      <c r="B2019" t="s">
        <v>11</v>
      </c>
      <c r="C2019">
        <v>6</v>
      </c>
      <c r="D2019">
        <v>97</v>
      </c>
      <c r="E2019">
        <v>582</v>
      </c>
      <c r="F2019" s="1">
        <v>45732</v>
      </c>
      <c r="G2019" s="1">
        <v>45735</v>
      </c>
      <c r="H2019" t="s">
        <v>8</v>
      </c>
      <c r="I2019" t="s">
        <v>25</v>
      </c>
      <c r="J2019">
        <v>5</v>
      </c>
      <c r="K2019" t="s">
        <v>4</v>
      </c>
      <c r="L2019" t="s">
        <v>18</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5">
      <c r="A2020" t="s">
        <v>2105</v>
      </c>
      <c r="B2020" t="s">
        <v>1</v>
      </c>
      <c r="C2020">
        <v>6</v>
      </c>
      <c r="D2020">
        <v>25.2</v>
      </c>
      <c r="E2020">
        <v>151.19999999999999</v>
      </c>
      <c r="F2020" s="1">
        <v>45732</v>
      </c>
      <c r="G2020" s="1">
        <v>45735</v>
      </c>
      <c r="H2020" t="s">
        <v>12</v>
      </c>
      <c r="I2020" t="s">
        <v>55</v>
      </c>
      <c r="J2020">
        <v>5</v>
      </c>
      <c r="K2020" t="s">
        <v>4</v>
      </c>
      <c r="L2020" t="s">
        <v>18</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5">
      <c r="A2021" t="s">
        <v>2106</v>
      </c>
      <c r="B2021" t="s">
        <v>1</v>
      </c>
      <c r="C2021">
        <v>11</v>
      </c>
      <c r="D2021">
        <v>12.2</v>
      </c>
      <c r="E2021">
        <v>134.19999999999999</v>
      </c>
      <c r="F2021" s="1">
        <v>45732</v>
      </c>
      <c r="G2021" s="1">
        <v>45733</v>
      </c>
      <c r="H2021" t="s">
        <v>2</v>
      </c>
      <c r="I2021" t="s">
        <v>3</v>
      </c>
      <c r="J2021">
        <v>3</v>
      </c>
      <c r="K2021" t="s">
        <v>4</v>
      </c>
      <c r="L2021" t="s">
        <v>18</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5">
      <c r="A2022" t="s">
        <v>2107</v>
      </c>
      <c r="B2022" t="s">
        <v>29</v>
      </c>
      <c r="C2022">
        <v>7</v>
      </c>
      <c r="D2022">
        <v>38.799999999999997</v>
      </c>
      <c r="E2022">
        <v>271.59999999999997</v>
      </c>
      <c r="F2022" s="1">
        <v>45732</v>
      </c>
      <c r="G2022" s="1">
        <v>45734</v>
      </c>
      <c r="H2022" t="s">
        <v>12</v>
      </c>
      <c r="I2022" t="s">
        <v>20</v>
      </c>
      <c r="J2022">
        <v>3</v>
      </c>
      <c r="K2022" t="s">
        <v>4</v>
      </c>
      <c r="L2022" t="s">
        <v>143</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5">
      <c r="A2023" t="s">
        <v>2108</v>
      </c>
      <c r="B2023" t="s">
        <v>11</v>
      </c>
      <c r="C2023">
        <v>4</v>
      </c>
      <c r="D2023">
        <v>53.2</v>
      </c>
      <c r="E2023">
        <v>212.8</v>
      </c>
      <c r="F2023" s="1">
        <v>45732</v>
      </c>
      <c r="G2023" s="1">
        <v>45733</v>
      </c>
      <c r="H2023" t="s">
        <v>8</v>
      </c>
      <c r="I2023" t="s">
        <v>3</v>
      </c>
      <c r="J2023">
        <v>5</v>
      </c>
      <c r="K2023" t="s">
        <v>4</v>
      </c>
      <c r="L2023" t="s">
        <v>47</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5">
      <c r="A2024" t="s">
        <v>2109</v>
      </c>
      <c r="B2024" t="s">
        <v>24</v>
      </c>
      <c r="C2024">
        <v>7</v>
      </c>
      <c r="D2024">
        <v>151</v>
      </c>
      <c r="E2024">
        <v>1057</v>
      </c>
      <c r="F2024" s="1">
        <v>45732</v>
      </c>
      <c r="G2024" s="1">
        <v>45733</v>
      </c>
      <c r="H2024" t="s">
        <v>74</v>
      </c>
      <c r="I2024" t="s">
        <v>20</v>
      </c>
      <c r="J2024">
        <v>3</v>
      </c>
      <c r="K2024" t="s">
        <v>4</v>
      </c>
      <c r="L2024" t="s">
        <v>47</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5">
      <c r="A2025" t="s">
        <v>2110</v>
      </c>
      <c r="B2025" t="s">
        <v>7</v>
      </c>
      <c r="C2025">
        <v>2</v>
      </c>
      <c r="D2025">
        <v>37.1</v>
      </c>
      <c r="E2025">
        <v>74.2</v>
      </c>
      <c r="F2025" s="1">
        <v>45732</v>
      </c>
      <c r="G2025" s="1">
        <v>45733</v>
      </c>
      <c r="H2025" t="s">
        <v>12</v>
      </c>
      <c r="I2025" t="s">
        <v>55</v>
      </c>
      <c r="J2025">
        <v>4</v>
      </c>
      <c r="K2025" t="s">
        <v>4</v>
      </c>
      <c r="L2025" t="s">
        <v>47</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5">
      <c r="A2026" t="s">
        <v>2111</v>
      </c>
      <c r="B2026" t="s">
        <v>22</v>
      </c>
      <c r="C2026">
        <v>2</v>
      </c>
      <c r="D2026">
        <v>38.9</v>
      </c>
      <c r="E2026">
        <v>77.8</v>
      </c>
      <c r="F2026" s="1">
        <v>45732</v>
      </c>
      <c r="G2026" s="1">
        <v>45733</v>
      </c>
      <c r="H2026" t="s">
        <v>8</v>
      </c>
      <c r="I2026" t="s">
        <v>55</v>
      </c>
      <c r="J2026">
        <v>4</v>
      </c>
      <c r="K2026" t="s">
        <v>4</v>
      </c>
      <c r="L2026" t="s">
        <v>47</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5">
      <c r="A2027" t="s">
        <v>2112</v>
      </c>
      <c r="B2027" t="s">
        <v>39</v>
      </c>
      <c r="C2027">
        <v>2</v>
      </c>
      <c r="D2027">
        <v>35.200000000000003</v>
      </c>
      <c r="E2027">
        <v>70.400000000000006</v>
      </c>
      <c r="F2027" s="1">
        <v>45732</v>
      </c>
      <c r="G2027" s="1">
        <v>45733</v>
      </c>
      <c r="H2027" t="s">
        <v>8</v>
      </c>
      <c r="I2027" t="s">
        <v>3</v>
      </c>
      <c r="J2027">
        <v>5</v>
      </c>
      <c r="K2027" t="s">
        <v>4</v>
      </c>
      <c r="L2027" t="s">
        <v>88</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5">
      <c r="A2028" t="s">
        <v>2113</v>
      </c>
      <c r="B2028" t="s">
        <v>1</v>
      </c>
      <c r="C2028">
        <v>2</v>
      </c>
      <c r="D2028">
        <v>22.3</v>
      </c>
      <c r="E2028">
        <v>44.6</v>
      </c>
      <c r="F2028" s="1">
        <v>45732</v>
      </c>
      <c r="G2028" s="1">
        <v>45734</v>
      </c>
      <c r="H2028" t="s">
        <v>12</v>
      </c>
      <c r="I2028" t="s">
        <v>20</v>
      </c>
      <c r="J2028">
        <v>4</v>
      </c>
      <c r="K2028" t="s">
        <v>4</v>
      </c>
      <c r="L2028" t="s">
        <v>57</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5">
      <c r="A2029" t="s">
        <v>2114</v>
      </c>
      <c r="B2029" t="s">
        <v>31</v>
      </c>
      <c r="C2029">
        <v>1</v>
      </c>
      <c r="D2029">
        <v>43.3</v>
      </c>
      <c r="E2029">
        <v>43.3</v>
      </c>
      <c r="F2029" s="1">
        <v>45732</v>
      </c>
      <c r="G2029" s="1">
        <v>45735</v>
      </c>
      <c r="H2029" t="s">
        <v>12</v>
      </c>
      <c r="I2029" t="s">
        <v>3</v>
      </c>
      <c r="J2029">
        <v>5</v>
      </c>
      <c r="K2029" t="s">
        <v>4</v>
      </c>
      <c r="L2029" t="s">
        <v>62</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5">
      <c r="A2030" t="s">
        <v>2115</v>
      </c>
      <c r="B2030" t="s">
        <v>24</v>
      </c>
      <c r="C2030">
        <v>6</v>
      </c>
      <c r="D2030">
        <v>75.900000000000006</v>
      </c>
      <c r="E2030">
        <v>455.40000000000003</v>
      </c>
      <c r="F2030" s="1">
        <v>45732</v>
      </c>
      <c r="G2030" s="1">
        <v>45738</v>
      </c>
      <c r="H2030" t="s">
        <v>8</v>
      </c>
      <c r="I2030" t="s">
        <v>3</v>
      </c>
      <c r="J2030">
        <v>4</v>
      </c>
      <c r="K2030" t="s">
        <v>4</v>
      </c>
      <c r="L2030" t="s">
        <v>62</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5">
      <c r="A2031" t="s">
        <v>2116</v>
      </c>
      <c r="B2031" t="s">
        <v>24</v>
      </c>
      <c r="C2031">
        <v>3</v>
      </c>
      <c r="D2031">
        <v>78.7</v>
      </c>
      <c r="E2031">
        <v>236.10000000000002</v>
      </c>
      <c r="F2031" s="1">
        <v>45732</v>
      </c>
      <c r="G2031" s="1">
        <v>45736</v>
      </c>
      <c r="H2031" t="s">
        <v>12</v>
      </c>
      <c r="I2031" t="s">
        <v>25</v>
      </c>
      <c r="J2031">
        <v>3</v>
      </c>
      <c r="K2031" t="s">
        <v>4</v>
      </c>
      <c r="L2031" t="s">
        <v>62</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5">
      <c r="A2032" t="s">
        <v>2117</v>
      </c>
      <c r="B2032" t="s">
        <v>7</v>
      </c>
      <c r="C2032">
        <v>1</v>
      </c>
      <c r="D2032">
        <v>66.3</v>
      </c>
      <c r="E2032">
        <v>66.3</v>
      </c>
      <c r="F2032" s="1">
        <v>45732</v>
      </c>
      <c r="G2032" s="1">
        <v>45736</v>
      </c>
      <c r="H2032" t="s">
        <v>12</v>
      </c>
      <c r="I2032" t="s">
        <v>3</v>
      </c>
      <c r="J2032">
        <v>5</v>
      </c>
      <c r="K2032" t="s">
        <v>4</v>
      </c>
      <c r="L2032" t="s">
        <v>95</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5">
      <c r="A2033" t="s">
        <v>2118</v>
      </c>
      <c r="B2033" t="s">
        <v>29</v>
      </c>
      <c r="C2033">
        <v>2</v>
      </c>
      <c r="D2033">
        <v>33.6</v>
      </c>
      <c r="E2033">
        <v>67.2</v>
      </c>
      <c r="F2033" s="1">
        <v>45732</v>
      </c>
      <c r="G2033" s="1">
        <v>45732</v>
      </c>
      <c r="H2033" t="s">
        <v>8</v>
      </c>
      <c r="I2033" t="s">
        <v>3</v>
      </c>
      <c r="J2033">
        <v>3</v>
      </c>
      <c r="K2033" t="s">
        <v>4</v>
      </c>
      <c r="L2033" t="s">
        <v>95</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5">
      <c r="A2034" t="s">
        <v>2119</v>
      </c>
      <c r="B2034" t="s">
        <v>11</v>
      </c>
      <c r="C2034">
        <v>7</v>
      </c>
      <c r="D2034">
        <v>61.4</v>
      </c>
      <c r="E2034">
        <v>429.8</v>
      </c>
      <c r="F2034" s="1">
        <v>45732</v>
      </c>
      <c r="G2034" s="1">
        <v>45733</v>
      </c>
      <c r="H2034" t="s">
        <v>8</v>
      </c>
      <c r="I2034" t="s">
        <v>55</v>
      </c>
      <c r="J2034">
        <v>4</v>
      </c>
      <c r="K2034" t="s">
        <v>4</v>
      </c>
      <c r="L2034" t="s">
        <v>95</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5">
      <c r="A2035" t="s">
        <v>2120</v>
      </c>
      <c r="B2035" t="s">
        <v>29</v>
      </c>
      <c r="C2035">
        <v>2</v>
      </c>
      <c r="D2035">
        <v>17.5</v>
      </c>
      <c r="E2035">
        <v>35</v>
      </c>
      <c r="F2035" s="1">
        <v>45732</v>
      </c>
      <c r="G2035" s="1">
        <v>45735</v>
      </c>
      <c r="H2035" t="s">
        <v>12</v>
      </c>
      <c r="I2035" t="s">
        <v>3</v>
      </c>
      <c r="J2035">
        <v>4</v>
      </c>
      <c r="K2035" t="s">
        <v>4</v>
      </c>
      <c r="L2035" t="s">
        <v>100</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5">
      <c r="A2036" t="s">
        <v>2121</v>
      </c>
      <c r="B2036" t="s">
        <v>29</v>
      </c>
      <c r="C2036">
        <v>2</v>
      </c>
      <c r="D2036">
        <v>32.5</v>
      </c>
      <c r="E2036">
        <v>65</v>
      </c>
      <c r="F2036" s="1">
        <v>45732</v>
      </c>
      <c r="G2036" s="1">
        <v>45735</v>
      </c>
      <c r="H2036" t="s">
        <v>12</v>
      </c>
      <c r="I2036" t="s">
        <v>20</v>
      </c>
      <c r="J2036">
        <v>4</v>
      </c>
      <c r="K2036" t="s">
        <v>4</v>
      </c>
      <c r="L2036" t="s">
        <v>100</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5">
      <c r="A2037" t="s">
        <v>2122</v>
      </c>
      <c r="B2037" t="s">
        <v>17</v>
      </c>
      <c r="C2037">
        <v>1</v>
      </c>
      <c r="D2037">
        <v>34.6</v>
      </c>
      <c r="E2037">
        <v>34.6</v>
      </c>
      <c r="F2037" s="1">
        <v>45732</v>
      </c>
      <c r="G2037" s="1">
        <v>45733</v>
      </c>
      <c r="H2037" t="s">
        <v>12</v>
      </c>
      <c r="I2037" t="s">
        <v>55</v>
      </c>
      <c r="J2037">
        <v>4</v>
      </c>
      <c r="K2037" t="s">
        <v>4</v>
      </c>
      <c r="L2037" t="s">
        <v>100</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5">
      <c r="A2038" t="s">
        <v>2123</v>
      </c>
      <c r="B2038" t="s">
        <v>11</v>
      </c>
      <c r="C2038">
        <v>1</v>
      </c>
      <c r="D2038">
        <v>75.900000000000006</v>
      </c>
      <c r="E2038">
        <v>75.900000000000006</v>
      </c>
      <c r="F2038" s="1">
        <v>45732</v>
      </c>
      <c r="G2038" s="1">
        <v>45732</v>
      </c>
      <c r="H2038" t="s">
        <v>8</v>
      </c>
      <c r="I2038" t="s">
        <v>20</v>
      </c>
      <c r="J2038">
        <v>5</v>
      </c>
      <c r="K2038" t="s">
        <v>4</v>
      </c>
      <c r="L2038" t="s">
        <v>100</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5">
      <c r="A2039" t="s">
        <v>2124</v>
      </c>
      <c r="B2039" t="s">
        <v>7</v>
      </c>
      <c r="C2039">
        <v>3</v>
      </c>
      <c r="D2039">
        <v>42.1</v>
      </c>
      <c r="E2039">
        <v>126.30000000000001</v>
      </c>
      <c r="F2039" s="1">
        <v>45732</v>
      </c>
      <c r="G2039" s="1">
        <v>45735</v>
      </c>
      <c r="H2039" t="s">
        <v>8</v>
      </c>
      <c r="I2039" t="s">
        <v>20</v>
      </c>
      <c r="J2039">
        <v>3</v>
      </c>
      <c r="K2039" t="s">
        <v>4</v>
      </c>
      <c r="L2039" t="s">
        <v>100</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5">
      <c r="A2040" t="s">
        <v>2125</v>
      </c>
      <c r="B2040" t="s">
        <v>27</v>
      </c>
      <c r="C2040">
        <v>3</v>
      </c>
      <c r="D2040">
        <v>65.3</v>
      </c>
      <c r="E2040">
        <v>195.89999999999998</v>
      </c>
      <c r="F2040" s="1">
        <v>45732</v>
      </c>
      <c r="G2040" s="1">
        <v>45739</v>
      </c>
      <c r="H2040" t="s">
        <v>8</v>
      </c>
      <c r="I2040" t="s">
        <v>3</v>
      </c>
      <c r="J2040">
        <v>4</v>
      </c>
      <c r="K2040" t="s">
        <v>4</v>
      </c>
      <c r="L2040" t="s">
        <v>9</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5">
      <c r="A2041" t="s">
        <v>2126</v>
      </c>
      <c r="B2041" t="s">
        <v>108</v>
      </c>
      <c r="C2041">
        <v>1</v>
      </c>
      <c r="D2041">
        <v>20.6</v>
      </c>
      <c r="E2041">
        <v>20.6</v>
      </c>
      <c r="F2041" s="1">
        <v>45732</v>
      </c>
      <c r="G2041" s="1">
        <v>45735</v>
      </c>
      <c r="H2041" t="s">
        <v>8</v>
      </c>
      <c r="I2041" t="s">
        <v>36</v>
      </c>
      <c r="J2041">
        <v>4</v>
      </c>
      <c r="K2041" t="s">
        <v>4</v>
      </c>
      <c r="L2041" t="s">
        <v>422</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5">
      <c r="A2042" t="s">
        <v>2127</v>
      </c>
      <c r="B2042" t="s">
        <v>29</v>
      </c>
      <c r="C2042">
        <v>7</v>
      </c>
      <c r="D2042">
        <v>16.5</v>
      </c>
      <c r="E2042">
        <v>115.5</v>
      </c>
      <c r="F2042" s="1">
        <v>45732</v>
      </c>
      <c r="G2042" s="1">
        <v>45733</v>
      </c>
      <c r="H2042" t="s">
        <v>8</v>
      </c>
      <c r="I2042" t="s">
        <v>20</v>
      </c>
      <c r="J2042">
        <v>3</v>
      </c>
      <c r="K2042" t="s">
        <v>4</v>
      </c>
      <c r="L2042" t="s">
        <v>13</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5">
      <c r="A2043" t="s">
        <v>2128</v>
      </c>
      <c r="B2043" t="s">
        <v>113</v>
      </c>
      <c r="C2043">
        <v>10</v>
      </c>
      <c r="D2043">
        <v>36.200000000000003</v>
      </c>
      <c r="E2043">
        <v>362</v>
      </c>
      <c r="F2043" s="1">
        <v>45732</v>
      </c>
      <c r="G2043" s="1">
        <v>45734</v>
      </c>
      <c r="H2043" t="s">
        <v>8</v>
      </c>
      <c r="I2043" t="s">
        <v>3</v>
      </c>
      <c r="J2043">
        <v>5</v>
      </c>
      <c r="K2043" t="s">
        <v>4</v>
      </c>
      <c r="L2043" t="s">
        <v>13</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5">
      <c r="A2044" t="s">
        <v>2129</v>
      </c>
      <c r="B2044" t="s">
        <v>24</v>
      </c>
      <c r="C2044">
        <v>1</v>
      </c>
      <c r="D2044">
        <v>53.2</v>
      </c>
      <c r="E2044">
        <v>53.2</v>
      </c>
      <c r="F2044" s="1">
        <v>45732</v>
      </c>
      <c r="G2044" s="1">
        <v>45733</v>
      </c>
      <c r="H2044" t="s">
        <v>12</v>
      </c>
      <c r="I2044" t="s">
        <v>3</v>
      </c>
      <c r="J2044">
        <v>3</v>
      </c>
      <c r="K2044" t="s">
        <v>4</v>
      </c>
      <c r="L2044" t="s">
        <v>132</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5">
      <c r="A2045" t="s">
        <v>2130</v>
      </c>
      <c r="B2045" t="s">
        <v>11</v>
      </c>
      <c r="C2045">
        <v>14</v>
      </c>
      <c r="D2045">
        <v>176</v>
      </c>
      <c r="E2045">
        <v>2464</v>
      </c>
      <c r="F2045" s="1">
        <v>45732</v>
      </c>
      <c r="G2045" s="1">
        <v>45733</v>
      </c>
      <c r="H2045" t="s">
        <v>12</v>
      </c>
      <c r="I2045" t="s">
        <v>3</v>
      </c>
      <c r="J2045">
        <v>3</v>
      </c>
      <c r="K2045" t="s">
        <v>4</v>
      </c>
      <c r="L2045" t="s">
        <v>18</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5">
      <c r="A2046" t="s">
        <v>2131</v>
      </c>
      <c r="B2046" t="s">
        <v>7</v>
      </c>
      <c r="C2046">
        <v>1</v>
      </c>
      <c r="D2046">
        <v>52.4</v>
      </c>
      <c r="E2046">
        <v>52.4</v>
      </c>
      <c r="F2046" s="1">
        <v>45732</v>
      </c>
      <c r="G2046" s="1">
        <v>45733</v>
      </c>
      <c r="H2046" t="s">
        <v>8</v>
      </c>
      <c r="I2046" t="s">
        <v>20</v>
      </c>
      <c r="J2046">
        <v>4</v>
      </c>
      <c r="K2046" t="s">
        <v>4</v>
      </c>
      <c r="L2046" t="s">
        <v>18</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5">
      <c r="A2047" t="s">
        <v>2132</v>
      </c>
      <c r="B2047" t="s">
        <v>39</v>
      </c>
      <c r="C2047">
        <v>3</v>
      </c>
      <c r="D2047">
        <v>48.2</v>
      </c>
      <c r="E2047">
        <v>144.60000000000002</v>
      </c>
      <c r="F2047" s="1">
        <v>45732</v>
      </c>
      <c r="G2047" s="1">
        <v>45733</v>
      </c>
      <c r="H2047" t="s">
        <v>12</v>
      </c>
      <c r="I2047" t="s">
        <v>20</v>
      </c>
      <c r="J2047">
        <v>5</v>
      </c>
      <c r="K2047" t="s">
        <v>4</v>
      </c>
      <c r="L2047" t="s">
        <v>18</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5">
      <c r="A2048" t="s">
        <v>2133</v>
      </c>
      <c r="B2048" t="s">
        <v>108</v>
      </c>
      <c r="C2048">
        <v>1</v>
      </c>
      <c r="D2048">
        <v>51.6</v>
      </c>
      <c r="E2048">
        <v>51.6</v>
      </c>
      <c r="F2048" s="1">
        <v>45732</v>
      </c>
      <c r="G2048" s="1">
        <v>45736</v>
      </c>
      <c r="H2048" t="s">
        <v>12</v>
      </c>
      <c r="I2048" t="s">
        <v>25</v>
      </c>
      <c r="J2048">
        <v>3</v>
      </c>
      <c r="K2048" t="s">
        <v>4</v>
      </c>
      <c r="L2048" t="s">
        <v>18</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5">
      <c r="A2049" t="s">
        <v>2134</v>
      </c>
      <c r="B2049" t="s">
        <v>1</v>
      </c>
      <c r="C2049">
        <v>4</v>
      </c>
      <c r="D2049">
        <v>33.700000000000003</v>
      </c>
      <c r="E2049">
        <v>134.80000000000001</v>
      </c>
      <c r="F2049" s="1">
        <v>45733</v>
      </c>
      <c r="G2049" s="1">
        <v>45734</v>
      </c>
      <c r="H2049" t="s">
        <v>8</v>
      </c>
      <c r="I2049" t="s">
        <v>3</v>
      </c>
      <c r="J2049">
        <v>4</v>
      </c>
      <c r="K2049" t="s">
        <v>4</v>
      </c>
      <c r="L2049" t="s">
        <v>18</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5">
      <c r="A2050" t="s">
        <v>2135</v>
      </c>
      <c r="B2050" t="s">
        <v>17</v>
      </c>
      <c r="C2050">
        <v>10</v>
      </c>
      <c r="D2050">
        <v>36.299999999999997</v>
      </c>
      <c r="E2050">
        <v>363</v>
      </c>
      <c r="F2050" s="1">
        <v>45733</v>
      </c>
      <c r="G2050" s="1">
        <v>45735</v>
      </c>
      <c r="H2050" t="s">
        <v>12</v>
      </c>
      <c r="I2050" t="s">
        <v>55</v>
      </c>
      <c r="J2050">
        <v>3</v>
      </c>
      <c r="K2050" t="s">
        <v>4</v>
      </c>
      <c r="L2050" t="s">
        <v>18</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5">
      <c r="A2051" t="s">
        <v>2136</v>
      </c>
      <c r="B2051" t="s">
        <v>29</v>
      </c>
      <c r="C2051">
        <v>1</v>
      </c>
      <c r="D2051">
        <v>23.4</v>
      </c>
      <c r="E2051">
        <v>23.4</v>
      </c>
      <c r="F2051" s="1">
        <v>45733</v>
      </c>
      <c r="G2051" s="1">
        <v>45738</v>
      </c>
      <c r="H2051" t="s">
        <v>12</v>
      </c>
      <c r="I2051" t="s">
        <v>20</v>
      </c>
      <c r="J2051">
        <v>5</v>
      </c>
      <c r="K2051" t="s">
        <v>4</v>
      </c>
      <c r="L2051" t="s">
        <v>18</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5">
      <c r="A2052" t="s">
        <v>2137</v>
      </c>
      <c r="B2052" t="s">
        <v>108</v>
      </c>
      <c r="C2052">
        <v>8</v>
      </c>
      <c r="D2052">
        <v>56.6</v>
      </c>
      <c r="E2052">
        <v>452.8</v>
      </c>
      <c r="F2052" s="1">
        <v>45733</v>
      </c>
      <c r="G2052" s="1">
        <v>45735</v>
      </c>
      <c r="H2052" t="s">
        <v>12</v>
      </c>
      <c r="I2052" t="s">
        <v>20</v>
      </c>
      <c r="J2052">
        <v>4</v>
      </c>
      <c r="K2052" t="s">
        <v>4</v>
      </c>
      <c r="L2052" t="s">
        <v>18</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5">
      <c r="A2053" t="s">
        <v>2138</v>
      </c>
      <c r="B2053" t="s">
        <v>108</v>
      </c>
      <c r="C2053">
        <v>2</v>
      </c>
      <c r="D2053">
        <v>26.8</v>
      </c>
      <c r="E2053">
        <v>53.6</v>
      </c>
      <c r="F2053" s="1">
        <v>45733</v>
      </c>
      <c r="G2053" s="1">
        <v>45734</v>
      </c>
      <c r="H2053" t="s">
        <v>8</v>
      </c>
      <c r="I2053" t="s">
        <v>3</v>
      </c>
      <c r="J2053">
        <v>4</v>
      </c>
      <c r="K2053" t="s">
        <v>4</v>
      </c>
      <c r="L2053" t="s">
        <v>34</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5">
      <c r="A2054" t="s">
        <v>2139</v>
      </c>
      <c r="B2054" t="s">
        <v>1</v>
      </c>
      <c r="C2054">
        <v>3</v>
      </c>
      <c r="D2054">
        <v>11.3</v>
      </c>
      <c r="E2054">
        <v>33.900000000000006</v>
      </c>
      <c r="F2054" s="1">
        <v>45733</v>
      </c>
      <c r="G2054" s="1">
        <v>45735</v>
      </c>
      <c r="H2054" t="s">
        <v>8</v>
      </c>
      <c r="I2054" t="s">
        <v>25</v>
      </c>
      <c r="J2054">
        <v>4</v>
      </c>
      <c r="K2054" t="s">
        <v>4</v>
      </c>
      <c r="L2054" t="s">
        <v>173</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5">
      <c r="A2055" t="s">
        <v>2140</v>
      </c>
      <c r="B2055" t="s">
        <v>24</v>
      </c>
      <c r="C2055">
        <v>3</v>
      </c>
      <c r="D2055">
        <v>60.1</v>
      </c>
      <c r="E2055">
        <v>180.3</v>
      </c>
      <c r="F2055" s="1">
        <v>45733</v>
      </c>
      <c r="G2055" s="1">
        <v>45736</v>
      </c>
      <c r="H2055" t="s">
        <v>12</v>
      </c>
      <c r="I2055" t="s">
        <v>3</v>
      </c>
      <c r="J2055">
        <v>4</v>
      </c>
      <c r="K2055" t="s">
        <v>4</v>
      </c>
      <c r="L2055" t="s">
        <v>44</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5">
      <c r="A2056" t="s">
        <v>2141</v>
      </c>
      <c r="B2056" t="s">
        <v>1</v>
      </c>
      <c r="C2056">
        <v>11</v>
      </c>
      <c r="D2056">
        <v>27.7</v>
      </c>
      <c r="E2056">
        <v>304.7</v>
      </c>
      <c r="F2056" s="1">
        <v>45733</v>
      </c>
      <c r="G2056" s="1">
        <v>45738</v>
      </c>
      <c r="H2056" t="s">
        <v>12</v>
      </c>
      <c r="I2056" t="s">
        <v>3</v>
      </c>
      <c r="J2056">
        <v>4</v>
      </c>
      <c r="K2056" t="s">
        <v>4</v>
      </c>
      <c r="L2056" t="s">
        <v>47</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5">
      <c r="A2057" t="s">
        <v>2142</v>
      </c>
      <c r="B2057" t="s">
        <v>108</v>
      </c>
      <c r="C2057">
        <v>1</v>
      </c>
      <c r="D2057">
        <v>71.400000000000006</v>
      </c>
      <c r="E2057">
        <v>71.400000000000006</v>
      </c>
      <c r="F2057" s="1">
        <v>45733</v>
      </c>
      <c r="G2057" s="1">
        <v>45736</v>
      </c>
      <c r="H2057" t="s">
        <v>8</v>
      </c>
      <c r="I2057" t="s">
        <v>3</v>
      </c>
      <c r="J2057">
        <v>5</v>
      </c>
      <c r="K2057" t="s">
        <v>4</v>
      </c>
      <c r="L2057" t="s">
        <v>47</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5">
      <c r="A2058" t="s">
        <v>2143</v>
      </c>
      <c r="B2058" t="s">
        <v>11</v>
      </c>
      <c r="C2058">
        <v>2</v>
      </c>
      <c r="D2058">
        <v>66.7</v>
      </c>
      <c r="E2058">
        <v>133.4</v>
      </c>
      <c r="F2058" s="1">
        <v>45733</v>
      </c>
      <c r="G2058" s="1">
        <v>45734</v>
      </c>
      <c r="H2058" t="s">
        <v>12</v>
      </c>
      <c r="I2058" t="s">
        <v>3</v>
      </c>
      <c r="J2058">
        <v>5</v>
      </c>
      <c r="K2058" t="s">
        <v>4</v>
      </c>
      <c r="L2058" t="s">
        <v>47</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5">
      <c r="A2059" t="s">
        <v>2144</v>
      </c>
      <c r="B2059" t="s">
        <v>61</v>
      </c>
      <c r="C2059">
        <v>5</v>
      </c>
      <c r="D2059">
        <v>39.1</v>
      </c>
      <c r="E2059">
        <v>195.5</v>
      </c>
      <c r="F2059" s="1">
        <v>45733</v>
      </c>
      <c r="G2059" s="1">
        <v>45734</v>
      </c>
      <c r="H2059" t="s">
        <v>12</v>
      </c>
      <c r="I2059" t="s">
        <v>3</v>
      </c>
      <c r="J2059">
        <v>4</v>
      </c>
      <c r="K2059" t="s">
        <v>4</v>
      </c>
      <c r="L2059" t="s">
        <v>47</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5">
      <c r="A2060" t="s">
        <v>2145</v>
      </c>
      <c r="B2060" t="s">
        <v>29</v>
      </c>
      <c r="C2060">
        <v>4</v>
      </c>
      <c r="D2060">
        <v>24.9</v>
      </c>
      <c r="E2060">
        <v>99.6</v>
      </c>
      <c r="F2060" s="1">
        <v>45733</v>
      </c>
      <c r="G2060" s="1">
        <v>45738</v>
      </c>
      <c r="H2060" t="s">
        <v>8</v>
      </c>
      <c r="I2060" t="s">
        <v>20</v>
      </c>
      <c r="J2060">
        <v>5</v>
      </c>
      <c r="K2060" t="s">
        <v>4</v>
      </c>
      <c r="L2060" t="s">
        <v>47</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5">
      <c r="A2061" t="s">
        <v>2146</v>
      </c>
      <c r="B2061" t="s">
        <v>22</v>
      </c>
      <c r="C2061">
        <v>5</v>
      </c>
      <c r="D2061">
        <v>29.2</v>
      </c>
      <c r="E2061">
        <v>146</v>
      </c>
      <c r="F2061" s="1">
        <v>45733</v>
      </c>
      <c r="G2061" s="1">
        <v>45734</v>
      </c>
      <c r="H2061" t="s">
        <v>8</v>
      </c>
      <c r="I2061" t="s">
        <v>3</v>
      </c>
      <c r="J2061">
        <v>5</v>
      </c>
      <c r="K2061" t="s">
        <v>4</v>
      </c>
      <c r="L2061" t="s">
        <v>88</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5">
      <c r="A2062" t="s">
        <v>2147</v>
      </c>
      <c r="B2062" t="s">
        <v>61</v>
      </c>
      <c r="C2062">
        <v>14</v>
      </c>
      <c r="D2062">
        <v>28.3</v>
      </c>
      <c r="E2062">
        <v>396.2</v>
      </c>
      <c r="F2062" s="1">
        <v>45733</v>
      </c>
      <c r="G2062" s="1">
        <v>45735</v>
      </c>
      <c r="H2062" t="s">
        <v>12</v>
      </c>
      <c r="I2062" t="s">
        <v>20</v>
      </c>
      <c r="J2062">
        <v>4</v>
      </c>
      <c r="K2062" t="s">
        <v>4</v>
      </c>
      <c r="L2062" t="s">
        <v>62</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5">
      <c r="A2063" t="s">
        <v>2148</v>
      </c>
      <c r="B2063" t="s">
        <v>31</v>
      </c>
      <c r="C2063">
        <v>3</v>
      </c>
      <c r="D2063">
        <v>37.799999999999997</v>
      </c>
      <c r="E2063">
        <v>113.39999999999999</v>
      </c>
      <c r="F2063" s="1">
        <v>45733</v>
      </c>
      <c r="G2063" s="1">
        <v>45734</v>
      </c>
      <c r="H2063" t="s">
        <v>12</v>
      </c>
      <c r="I2063" t="s">
        <v>3</v>
      </c>
      <c r="J2063">
        <v>3</v>
      </c>
      <c r="K2063" t="s">
        <v>4</v>
      </c>
      <c r="L2063" t="s">
        <v>62</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5">
      <c r="A2064" t="s">
        <v>2149</v>
      </c>
      <c r="B2064" t="s">
        <v>66</v>
      </c>
      <c r="C2064">
        <v>7</v>
      </c>
      <c r="D2064">
        <v>28.1</v>
      </c>
      <c r="E2064">
        <v>196.70000000000002</v>
      </c>
      <c r="F2064" s="1">
        <v>45733</v>
      </c>
      <c r="G2064" s="1">
        <v>45739</v>
      </c>
      <c r="H2064" t="s">
        <v>12</v>
      </c>
      <c r="I2064" t="s">
        <v>25</v>
      </c>
      <c r="J2064">
        <v>4</v>
      </c>
      <c r="K2064" t="s">
        <v>4</v>
      </c>
      <c r="L2064" t="s">
        <v>62</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5">
      <c r="A2065" t="s">
        <v>2150</v>
      </c>
      <c r="B2065" t="s">
        <v>7</v>
      </c>
      <c r="C2065">
        <v>3</v>
      </c>
      <c r="D2065">
        <v>59.7</v>
      </c>
      <c r="E2065">
        <v>179.10000000000002</v>
      </c>
      <c r="F2065" s="1">
        <v>45733</v>
      </c>
      <c r="G2065" s="1">
        <v>45735</v>
      </c>
      <c r="H2065" t="s">
        <v>12</v>
      </c>
      <c r="I2065" t="s">
        <v>25</v>
      </c>
      <c r="J2065">
        <v>4</v>
      </c>
      <c r="K2065" t="s">
        <v>4</v>
      </c>
      <c r="L2065" t="s">
        <v>62</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5">
      <c r="A2066" t="s">
        <v>2151</v>
      </c>
      <c r="B2066" t="s">
        <v>113</v>
      </c>
      <c r="C2066">
        <v>1</v>
      </c>
      <c r="D2066">
        <v>71.900000000000006</v>
      </c>
      <c r="E2066">
        <v>71.900000000000006</v>
      </c>
      <c r="F2066" s="1">
        <v>45733</v>
      </c>
      <c r="G2066" s="1">
        <v>45734</v>
      </c>
      <c r="H2066" t="s">
        <v>8</v>
      </c>
      <c r="I2066" t="s">
        <v>20</v>
      </c>
      <c r="J2066">
        <v>3</v>
      </c>
      <c r="K2066" t="s">
        <v>4</v>
      </c>
      <c r="L2066" t="s">
        <v>62</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5">
      <c r="A2067" t="s">
        <v>2152</v>
      </c>
      <c r="B2067" t="s">
        <v>7</v>
      </c>
      <c r="C2067">
        <v>2</v>
      </c>
      <c r="D2067">
        <v>56.9</v>
      </c>
      <c r="E2067">
        <v>113.8</v>
      </c>
      <c r="F2067" s="1">
        <v>45733</v>
      </c>
      <c r="G2067" s="1">
        <v>45734</v>
      </c>
      <c r="H2067" t="s">
        <v>8</v>
      </c>
      <c r="I2067" t="s">
        <v>25</v>
      </c>
      <c r="J2067">
        <v>4</v>
      </c>
      <c r="K2067" t="s">
        <v>4</v>
      </c>
      <c r="L2067" t="s">
        <v>67</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5">
      <c r="A2068" t="s">
        <v>2153</v>
      </c>
      <c r="B2068" t="s">
        <v>29</v>
      </c>
      <c r="C2068">
        <v>2</v>
      </c>
      <c r="D2068">
        <v>15.8</v>
      </c>
      <c r="E2068">
        <v>31.6</v>
      </c>
      <c r="F2068" s="1">
        <v>45733</v>
      </c>
      <c r="G2068" s="1">
        <v>45736</v>
      </c>
      <c r="H2068" t="s">
        <v>12</v>
      </c>
      <c r="I2068" t="s">
        <v>25</v>
      </c>
      <c r="J2068">
        <v>3</v>
      </c>
      <c r="K2068" t="s">
        <v>4</v>
      </c>
      <c r="L2068" t="s">
        <v>9</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5">
      <c r="A2069" t="s">
        <v>2154</v>
      </c>
      <c r="B2069" t="s">
        <v>52</v>
      </c>
      <c r="C2069">
        <v>4</v>
      </c>
      <c r="D2069">
        <v>61.7</v>
      </c>
      <c r="E2069">
        <v>246.8</v>
      </c>
      <c r="F2069" s="1">
        <v>45733</v>
      </c>
      <c r="G2069" s="1">
        <v>45735</v>
      </c>
      <c r="H2069" t="s">
        <v>12</v>
      </c>
      <c r="I2069" t="s">
        <v>25</v>
      </c>
      <c r="J2069">
        <v>4</v>
      </c>
      <c r="K2069" t="s">
        <v>4</v>
      </c>
      <c r="L2069" t="s">
        <v>132</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5">
      <c r="A2070" t="s">
        <v>2155</v>
      </c>
      <c r="B2070" t="s">
        <v>11</v>
      </c>
      <c r="C2070">
        <v>10</v>
      </c>
      <c r="D2070">
        <v>105.2</v>
      </c>
      <c r="E2070">
        <v>1052</v>
      </c>
      <c r="F2070" s="1">
        <v>45733</v>
      </c>
      <c r="G2070" s="1">
        <v>45735</v>
      </c>
      <c r="H2070" t="s">
        <v>8</v>
      </c>
      <c r="I2070" t="s">
        <v>20</v>
      </c>
      <c r="J2070">
        <v>2</v>
      </c>
      <c r="K2070" t="s">
        <v>4</v>
      </c>
      <c r="L2070" t="s">
        <v>18</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5">
      <c r="A2071" t="s">
        <v>2156</v>
      </c>
      <c r="B2071" t="s">
        <v>1</v>
      </c>
      <c r="C2071">
        <v>2</v>
      </c>
      <c r="D2071">
        <v>17</v>
      </c>
      <c r="E2071">
        <v>34</v>
      </c>
      <c r="F2071" s="1">
        <v>45733</v>
      </c>
      <c r="G2071" s="1">
        <v>45735</v>
      </c>
      <c r="H2071" t="s">
        <v>12</v>
      </c>
      <c r="I2071" t="s">
        <v>25</v>
      </c>
      <c r="J2071">
        <v>4</v>
      </c>
      <c r="K2071" t="s">
        <v>4</v>
      </c>
      <c r="L2071" t="s">
        <v>18</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5">
      <c r="A2072" t="s">
        <v>2157</v>
      </c>
      <c r="B2072" t="s">
        <v>24</v>
      </c>
      <c r="C2072">
        <v>3</v>
      </c>
      <c r="D2072">
        <v>84.1</v>
      </c>
      <c r="E2072">
        <v>252.29999999999998</v>
      </c>
      <c r="F2072" s="1">
        <v>45733</v>
      </c>
      <c r="G2072" s="1">
        <v>45734</v>
      </c>
      <c r="H2072" t="s">
        <v>8</v>
      </c>
      <c r="I2072" t="s">
        <v>25</v>
      </c>
      <c r="J2072">
        <v>4</v>
      </c>
      <c r="K2072" t="s">
        <v>4</v>
      </c>
      <c r="L2072" t="s">
        <v>18</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5">
      <c r="A2073" t="s">
        <v>2158</v>
      </c>
      <c r="B2073" t="s">
        <v>15</v>
      </c>
      <c r="C2073">
        <v>4</v>
      </c>
      <c r="D2073">
        <v>59.5</v>
      </c>
      <c r="E2073">
        <v>238</v>
      </c>
      <c r="F2073" s="1">
        <v>45733</v>
      </c>
      <c r="G2073" s="1">
        <v>45738</v>
      </c>
      <c r="H2073" t="s">
        <v>8</v>
      </c>
      <c r="I2073" t="s">
        <v>3</v>
      </c>
      <c r="J2073">
        <v>5</v>
      </c>
      <c r="K2073" t="s">
        <v>4</v>
      </c>
      <c r="L2073" t="s">
        <v>18</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5">
      <c r="A2074" t="s">
        <v>2159</v>
      </c>
      <c r="B2074" t="s">
        <v>29</v>
      </c>
      <c r="C2074">
        <v>2</v>
      </c>
      <c r="D2074">
        <v>57.5</v>
      </c>
      <c r="E2074">
        <v>115</v>
      </c>
      <c r="F2074" s="1">
        <v>45733</v>
      </c>
      <c r="G2074" s="1">
        <v>45735</v>
      </c>
      <c r="H2074" t="s">
        <v>8</v>
      </c>
      <c r="I2074" t="s">
        <v>20</v>
      </c>
      <c r="J2074">
        <v>5</v>
      </c>
      <c r="K2074" t="s">
        <v>4</v>
      </c>
      <c r="L2074" t="s">
        <v>18</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5">
      <c r="A2075" t="s">
        <v>2160</v>
      </c>
      <c r="B2075" t="s">
        <v>29</v>
      </c>
      <c r="C2075">
        <v>1</v>
      </c>
      <c r="D2075">
        <v>34.299999999999997</v>
      </c>
      <c r="E2075">
        <v>34.299999999999997</v>
      </c>
      <c r="F2075" s="1">
        <v>45733</v>
      </c>
      <c r="G2075" s="1">
        <v>45734</v>
      </c>
      <c r="H2075" t="s">
        <v>12</v>
      </c>
      <c r="I2075" t="s">
        <v>55</v>
      </c>
      <c r="J2075">
        <v>5</v>
      </c>
      <c r="K2075" t="s">
        <v>4</v>
      </c>
      <c r="L2075" t="s">
        <v>18</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5">
      <c r="A2076" t="s">
        <v>2161</v>
      </c>
      <c r="B2076" t="s">
        <v>22</v>
      </c>
      <c r="C2076">
        <v>2</v>
      </c>
      <c r="D2076">
        <v>27.8</v>
      </c>
      <c r="E2076">
        <v>55.6</v>
      </c>
      <c r="F2076" s="1">
        <v>45734</v>
      </c>
      <c r="G2076" s="1">
        <v>45736</v>
      </c>
      <c r="H2076" t="s">
        <v>12</v>
      </c>
      <c r="I2076" t="s">
        <v>3</v>
      </c>
      <c r="J2076">
        <v>4</v>
      </c>
      <c r="K2076" t="s">
        <v>4</v>
      </c>
      <c r="L2076" t="s">
        <v>18</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5">
      <c r="A2077" t="s">
        <v>2162</v>
      </c>
      <c r="B2077" t="s">
        <v>54</v>
      </c>
      <c r="C2077">
        <v>2</v>
      </c>
      <c r="D2077">
        <v>85</v>
      </c>
      <c r="E2077">
        <v>170</v>
      </c>
      <c r="F2077" s="1">
        <v>45734</v>
      </c>
      <c r="G2077" s="1">
        <v>45734</v>
      </c>
      <c r="H2077" t="s">
        <v>8</v>
      </c>
      <c r="I2077" t="s">
        <v>25</v>
      </c>
      <c r="J2077">
        <v>5</v>
      </c>
      <c r="K2077" t="s">
        <v>4</v>
      </c>
      <c r="L2077" t="s">
        <v>18</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5">
      <c r="A2078" t="s">
        <v>2163</v>
      </c>
      <c r="B2078" t="s">
        <v>24</v>
      </c>
      <c r="C2078">
        <v>2</v>
      </c>
      <c r="D2078">
        <v>95</v>
      </c>
      <c r="E2078">
        <v>190</v>
      </c>
      <c r="F2078" s="1">
        <v>45734</v>
      </c>
      <c r="G2078" s="1">
        <v>45736</v>
      </c>
      <c r="H2078" t="s">
        <v>12</v>
      </c>
      <c r="I2078" t="s">
        <v>3</v>
      </c>
      <c r="J2078">
        <v>4</v>
      </c>
      <c r="K2078" t="s">
        <v>4</v>
      </c>
      <c r="L2078" t="s">
        <v>18</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5">
      <c r="A2079" t="s">
        <v>2164</v>
      </c>
      <c r="B2079" t="s">
        <v>113</v>
      </c>
      <c r="C2079">
        <v>2</v>
      </c>
      <c r="D2079">
        <v>32</v>
      </c>
      <c r="E2079">
        <v>64</v>
      </c>
      <c r="F2079" s="1">
        <v>45734</v>
      </c>
      <c r="G2079" s="1">
        <v>45736</v>
      </c>
      <c r="H2079" t="s">
        <v>8</v>
      </c>
      <c r="I2079" t="s">
        <v>3</v>
      </c>
      <c r="J2079">
        <v>3</v>
      </c>
      <c r="K2079" t="s">
        <v>4</v>
      </c>
      <c r="L2079" t="s">
        <v>18</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5">
      <c r="A2080" t="s">
        <v>2165</v>
      </c>
      <c r="B2080" t="s">
        <v>11</v>
      </c>
      <c r="C2080">
        <v>2</v>
      </c>
      <c r="D2080">
        <v>65.2</v>
      </c>
      <c r="E2080">
        <v>130.4</v>
      </c>
      <c r="F2080" s="1">
        <v>45734</v>
      </c>
      <c r="G2080" s="1">
        <v>45735</v>
      </c>
      <c r="H2080" t="s">
        <v>12</v>
      </c>
      <c r="I2080" t="s">
        <v>20</v>
      </c>
      <c r="J2080">
        <v>4</v>
      </c>
      <c r="K2080" t="s">
        <v>4</v>
      </c>
      <c r="L2080" t="s">
        <v>18</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5">
      <c r="A2081" t="s">
        <v>2166</v>
      </c>
      <c r="B2081" t="s">
        <v>120</v>
      </c>
      <c r="C2081">
        <v>4</v>
      </c>
      <c r="D2081">
        <v>22</v>
      </c>
      <c r="E2081">
        <v>88</v>
      </c>
      <c r="F2081" s="1">
        <v>45734</v>
      </c>
      <c r="G2081" s="1">
        <v>45735</v>
      </c>
      <c r="H2081" t="s">
        <v>8</v>
      </c>
      <c r="I2081" t="s">
        <v>20</v>
      </c>
      <c r="J2081">
        <v>5</v>
      </c>
      <c r="K2081" t="s">
        <v>4</v>
      </c>
      <c r="L2081" t="s">
        <v>18</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5">
      <c r="A2082" t="s">
        <v>2167</v>
      </c>
      <c r="B2082" t="s">
        <v>108</v>
      </c>
      <c r="C2082">
        <v>3</v>
      </c>
      <c r="D2082">
        <v>69.400000000000006</v>
      </c>
      <c r="E2082">
        <v>208.20000000000002</v>
      </c>
      <c r="F2082" s="1">
        <v>45734</v>
      </c>
      <c r="G2082" s="1">
        <v>45737</v>
      </c>
      <c r="H2082" t="s">
        <v>8</v>
      </c>
      <c r="I2082" t="s">
        <v>20</v>
      </c>
      <c r="J2082">
        <v>5</v>
      </c>
      <c r="K2082" t="s">
        <v>4</v>
      </c>
      <c r="L2082" t="s">
        <v>18</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5">
      <c r="A2083" t="s">
        <v>2168</v>
      </c>
      <c r="B2083" t="s">
        <v>39</v>
      </c>
      <c r="C2083">
        <v>6</v>
      </c>
      <c r="D2083">
        <v>31.5</v>
      </c>
      <c r="E2083">
        <v>189</v>
      </c>
      <c r="F2083" s="1">
        <v>45734</v>
      </c>
      <c r="G2083" s="1">
        <v>45736</v>
      </c>
      <c r="H2083" t="s">
        <v>12</v>
      </c>
      <c r="I2083" t="s">
        <v>3</v>
      </c>
      <c r="J2083">
        <v>5</v>
      </c>
      <c r="K2083" t="s">
        <v>4</v>
      </c>
      <c r="L2083" t="s">
        <v>18</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5">
      <c r="A2084" t="s">
        <v>2169</v>
      </c>
      <c r="B2084" t="s">
        <v>24</v>
      </c>
      <c r="C2084">
        <v>1</v>
      </c>
      <c r="D2084">
        <v>45.8</v>
      </c>
      <c r="E2084">
        <v>45.8</v>
      </c>
      <c r="F2084" s="1">
        <v>45734</v>
      </c>
      <c r="G2084" s="1">
        <v>45738</v>
      </c>
      <c r="H2084" t="s">
        <v>74</v>
      </c>
      <c r="I2084" t="s">
        <v>3</v>
      </c>
      <c r="J2084">
        <v>4</v>
      </c>
      <c r="K2084" t="s">
        <v>4</v>
      </c>
      <c r="L2084" t="s">
        <v>18</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5">
      <c r="A2085" t="s">
        <v>2170</v>
      </c>
      <c r="B2085" t="s">
        <v>156</v>
      </c>
      <c r="C2085">
        <v>4</v>
      </c>
      <c r="D2085">
        <v>12.8</v>
      </c>
      <c r="E2085">
        <v>51.2</v>
      </c>
      <c r="F2085" s="1">
        <v>45734</v>
      </c>
      <c r="G2085" s="1">
        <v>45741</v>
      </c>
      <c r="H2085" t="s">
        <v>12</v>
      </c>
      <c r="I2085" t="s">
        <v>20</v>
      </c>
      <c r="J2085">
        <v>3</v>
      </c>
      <c r="K2085" t="s">
        <v>4</v>
      </c>
      <c r="L2085" t="s">
        <v>37</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5">
      <c r="A2086" t="s">
        <v>2171</v>
      </c>
      <c r="B2086" t="s">
        <v>22</v>
      </c>
      <c r="C2086">
        <v>3</v>
      </c>
      <c r="D2086">
        <v>115.3</v>
      </c>
      <c r="E2086">
        <v>345.9</v>
      </c>
      <c r="F2086" s="1">
        <v>45734</v>
      </c>
      <c r="G2086" s="1">
        <v>45735</v>
      </c>
      <c r="H2086" t="s">
        <v>12</v>
      </c>
      <c r="I2086" t="s">
        <v>25</v>
      </c>
      <c r="J2086">
        <v>5</v>
      </c>
      <c r="K2086" t="s">
        <v>4</v>
      </c>
      <c r="L2086" t="s">
        <v>40</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5">
      <c r="A2087" t="s">
        <v>2172</v>
      </c>
      <c r="B2087" t="s">
        <v>22</v>
      </c>
      <c r="C2087">
        <v>2</v>
      </c>
      <c r="D2087">
        <v>85</v>
      </c>
      <c r="E2087">
        <v>170</v>
      </c>
      <c r="F2087" s="1">
        <v>45734</v>
      </c>
      <c r="G2087" s="1">
        <v>45736</v>
      </c>
      <c r="H2087" t="s">
        <v>12</v>
      </c>
      <c r="I2087" t="s">
        <v>20</v>
      </c>
      <c r="J2087">
        <v>4</v>
      </c>
      <c r="K2087" t="s">
        <v>4</v>
      </c>
      <c r="L2087" t="s">
        <v>44</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5">
      <c r="A2088" t="s">
        <v>2173</v>
      </c>
      <c r="B2088" t="s">
        <v>29</v>
      </c>
      <c r="C2088">
        <v>3</v>
      </c>
      <c r="D2088">
        <v>56.6</v>
      </c>
      <c r="E2088">
        <v>169.8</v>
      </c>
      <c r="F2088" s="1">
        <v>45734</v>
      </c>
      <c r="G2088" s="1">
        <v>45735</v>
      </c>
      <c r="H2088" t="s">
        <v>12</v>
      </c>
      <c r="I2088" t="s">
        <v>20</v>
      </c>
      <c r="J2088">
        <v>5</v>
      </c>
      <c r="K2088" t="s">
        <v>4</v>
      </c>
      <c r="L2088" t="s">
        <v>44</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5">
      <c r="A2089" t="s">
        <v>2174</v>
      </c>
      <c r="B2089" t="s">
        <v>108</v>
      </c>
      <c r="C2089">
        <v>27</v>
      </c>
      <c r="D2089">
        <v>46.3</v>
      </c>
      <c r="E2089">
        <v>1250.0999999999999</v>
      </c>
      <c r="F2089" s="1">
        <v>45734</v>
      </c>
      <c r="G2089" s="1">
        <v>45737</v>
      </c>
      <c r="H2089" t="s">
        <v>8</v>
      </c>
      <c r="I2089" t="s">
        <v>3</v>
      </c>
      <c r="J2089">
        <v>4</v>
      </c>
      <c r="K2089" t="s">
        <v>4</v>
      </c>
      <c r="L2089" t="s">
        <v>44</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5">
      <c r="A2090" t="s">
        <v>2175</v>
      </c>
      <c r="B2090" t="s">
        <v>66</v>
      </c>
      <c r="C2090">
        <v>4</v>
      </c>
      <c r="D2090">
        <v>23</v>
      </c>
      <c r="E2090">
        <v>92</v>
      </c>
      <c r="F2090" s="1">
        <v>45734</v>
      </c>
      <c r="G2090" s="1">
        <v>45738</v>
      </c>
      <c r="H2090" t="s">
        <v>8</v>
      </c>
      <c r="I2090" t="s">
        <v>36</v>
      </c>
      <c r="J2090">
        <v>5</v>
      </c>
      <c r="K2090" t="s">
        <v>4</v>
      </c>
      <c r="L2090" t="s">
        <v>44</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5">
      <c r="A2091" t="s">
        <v>2176</v>
      </c>
      <c r="B2091" t="s">
        <v>29</v>
      </c>
      <c r="C2091">
        <v>6</v>
      </c>
      <c r="D2091">
        <v>42.1</v>
      </c>
      <c r="E2091">
        <v>252.60000000000002</v>
      </c>
      <c r="F2091" s="1">
        <v>45734</v>
      </c>
      <c r="G2091" s="1">
        <v>45736</v>
      </c>
      <c r="H2091" t="s">
        <v>8</v>
      </c>
      <c r="I2091" t="s">
        <v>55</v>
      </c>
      <c r="J2091">
        <v>4</v>
      </c>
      <c r="K2091" t="s">
        <v>4</v>
      </c>
      <c r="L2091" t="s">
        <v>47</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5">
      <c r="A2092" t="s">
        <v>2177</v>
      </c>
      <c r="B2092" t="s">
        <v>22</v>
      </c>
      <c r="C2092">
        <v>7</v>
      </c>
      <c r="D2092">
        <v>57.4</v>
      </c>
      <c r="E2092">
        <v>401.8</v>
      </c>
      <c r="F2092" s="1">
        <v>45734</v>
      </c>
      <c r="G2092" s="1">
        <v>45738</v>
      </c>
      <c r="H2092" t="s">
        <v>12</v>
      </c>
      <c r="I2092" t="s">
        <v>20</v>
      </c>
      <c r="J2092">
        <v>2</v>
      </c>
      <c r="K2092" t="s">
        <v>4</v>
      </c>
      <c r="L2092" t="s">
        <v>47</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5">
      <c r="A2093" t="s">
        <v>2178</v>
      </c>
      <c r="B2093" t="s">
        <v>1</v>
      </c>
      <c r="C2093">
        <v>6</v>
      </c>
      <c r="D2093">
        <v>13.2</v>
      </c>
      <c r="E2093">
        <v>79.199999999999989</v>
      </c>
      <c r="F2093" s="1">
        <v>45734</v>
      </c>
      <c r="G2093" s="1">
        <v>45738</v>
      </c>
      <c r="H2093" t="s">
        <v>8</v>
      </c>
      <c r="I2093" t="s">
        <v>25</v>
      </c>
      <c r="J2093">
        <v>4</v>
      </c>
      <c r="K2093" t="s">
        <v>4</v>
      </c>
      <c r="L2093" t="s">
        <v>47</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5">
      <c r="A2094" t="s">
        <v>2179</v>
      </c>
      <c r="B2094" t="s">
        <v>24</v>
      </c>
      <c r="C2094">
        <v>3</v>
      </c>
      <c r="D2094">
        <v>52.3</v>
      </c>
      <c r="E2094">
        <v>156.89999999999998</v>
      </c>
      <c r="F2094" s="1">
        <v>45734</v>
      </c>
      <c r="G2094" s="1">
        <v>45735</v>
      </c>
      <c r="H2094" t="s">
        <v>8</v>
      </c>
      <c r="I2094" t="s">
        <v>20</v>
      </c>
      <c r="J2094">
        <v>4</v>
      </c>
      <c r="K2094" t="s">
        <v>4</v>
      </c>
      <c r="L2094" t="s">
        <v>47</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5">
      <c r="A2095" t="s">
        <v>2180</v>
      </c>
      <c r="B2095" t="s">
        <v>29</v>
      </c>
      <c r="C2095">
        <v>2</v>
      </c>
      <c r="D2095">
        <v>15.7</v>
      </c>
      <c r="E2095">
        <v>31.4</v>
      </c>
      <c r="F2095" s="1">
        <v>45734</v>
      </c>
      <c r="G2095" s="1">
        <v>45737</v>
      </c>
      <c r="H2095" t="s">
        <v>8</v>
      </c>
      <c r="I2095" t="s">
        <v>20</v>
      </c>
      <c r="J2095">
        <v>5</v>
      </c>
      <c r="K2095" t="s">
        <v>4</v>
      </c>
      <c r="L2095" t="s">
        <v>47</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5">
      <c r="A2096" t="s">
        <v>2181</v>
      </c>
      <c r="B2096" t="s">
        <v>27</v>
      </c>
      <c r="C2096">
        <v>3</v>
      </c>
      <c r="D2096">
        <v>35</v>
      </c>
      <c r="E2096">
        <v>105</v>
      </c>
      <c r="F2096" s="1">
        <v>45734</v>
      </c>
      <c r="G2096" s="1">
        <v>45737</v>
      </c>
      <c r="H2096" t="s">
        <v>12</v>
      </c>
      <c r="I2096" t="s">
        <v>20</v>
      </c>
      <c r="J2096">
        <v>5</v>
      </c>
      <c r="K2096" t="s">
        <v>4</v>
      </c>
      <c r="L2096" t="s">
        <v>57</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5">
      <c r="A2097" t="s">
        <v>2182</v>
      </c>
      <c r="B2097" t="s">
        <v>17</v>
      </c>
      <c r="C2097">
        <v>3</v>
      </c>
      <c r="D2097">
        <v>26.6</v>
      </c>
      <c r="E2097">
        <v>79.800000000000011</v>
      </c>
      <c r="F2097" s="1">
        <v>45734</v>
      </c>
      <c r="G2097" s="1">
        <v>45734</v>
      </c>
      <c r="H2097" t="s">
        <v>8</v>
      </c>
      <c r="I2097" t="s">
        <v>20</v>
      </c>
      <c r="J2097">
        <v>5</v>
      </c>
      <c r="K2097" t="s">
        <v>4</v>
      </c>
      <c r="L2097" t="s">
        <v>62</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5">
      <c r="A2098" t="s">
        <v>2183</v>
      </c>
      <c r="B2098" t="s">
        <v>17</v>
      </c>
      <c r="C2098">
        <v>8</v>
      </c>
      <c r="D2098">
        <v>47.9</v>
      </c>
      <c r="E2098">
        <v>383.2</v>
      </c>
      <c r="F2098" s="1">
        <v>45735</v>
      </c>
      <c r="G2098" s="1">
        <v>45736</v>
      </c>
      <c r="H2098" t="s">
        <v>12</v>
      </c>
      <c r="I2098" t="s">
        <v>36</v>
      </c>
      <c r="J2098">
        <v>5</v>
      </c>
      <c r="K2098" t="s">
        <v>4</v>
      </c>
      <c r="L2098" t="s">
        <v>98</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5">
      <c r="A2099" t="s">
        <v>2184</v>
      </c>
      <c r="B2099" t="s">
        <v>22</v>
      </c>
      <c r="C2099">
        <v>1</v>
      </c>
      <c r="D2099">
        <v>80.099999999999994</v>
      </c>
      <c r="E2099">
        <v>80.099999999999994</v>
      </c>
      <c r="F2099" s="1">
        <v>45735</v>
      </c>
      <c r="G2099" s="1">
        <v>45736</v>
      </c>
      <c r="H2099" t="s">
        <v>8</v>
      </c>
      <c r="I2099" t="s">
        <v>25</v>
      </c>
      <c r="J2099">
        <v>4</v>
      </c>
      <c r="K2099" t="s">
        <v>4</v>
      </c>
      <c r="L2099" t="s">
        <v>100</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5">
      <c r="A2100" t="s">
        <v>2185</v>
      </c>
      <c r="B2100" t="s">
        <v>24</v>
      </c>
      <c r="C2100">
        <v>5</v>
      </c>
      <c r="D2100">
        <v>50.4</v>
      </c>
      <c r="E2100">
        <v>252</v>
      </c>
      <c r="F2100" s="1">
        <v>45735</v>
      </c>
      <c r="G2100" s="1">
        <v>45736</v>
      </c>
      <c r="H2100" t="s">
        <v>8</v>
      </c>
      <c r="I2100" t="s">
        <v>20</v>
      </c>
      <c r="J2100">
        <v>5</v>
      </c>
      <c r="K2100" t="s">
        <v>4</v>
      </c>
      <c r="L2100" t="s">
        <v>100</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5">
      <c r="A2101" t="s">
        <v>2186</v>
      </c>
      <c r="B2101" t="s">
        <v>39</v>
      </c>
      <c r="C2101">
        <v>7</v>
      </c>
      <c r="D2101">
        <v>43.3</v>
      </c>
      <c r="E2101">
        <v>303.09999999999997</v>
      </c>
      <c r="F2101" s="1">
        <v>45735</v>
      </c>
      <c r="G2101" s="1">
        <v>45736</v>
      </c>
      <c r="H2101" t="s">
        <v>8</v>
      </c>
      <c r="I2101" t="s">
        <v>25</v>
      </c>
      <c r="J2101">
        <v>4</v>
      </c>
      <c r="K2101" t="s">
        <v>4</v>
      </c>
      <c r="L2101" t="s">
        <v>100</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5">
      <c r="A2102" t="s">
        <v>2187</v>
      </c>
      <c r="B2102" t="s">
        <v>39</v>
      </c>
      <c r="C2102">
        <v>4</v>
      </c>
      <c r="D2102">
        <v>57.5</v>
      </c>
      <c r="E2102">
        <v>230</v>
      </c>
      <c r="F2102" s="1">
        <v>45735</v>
      </c>
      <c r="G2102" s="1">
        <v>45736</v>
      </c>
      <c r="H2102" t="s">
        <v>12</v>
      </c>
      <c r="I2102" t="s">
        <v>20</v>
      </c>
      <c r="J2102">
        <v>5</v>
      </c>
      <c r="K2102" t="s">
        <v>4</v>
      </c>
      <c r="L2102" t="s">
        <v>9</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5">
      <c r="A2103" t="s">
        <v>2188</v>
      </c>
      <c r="B2103" t="s">
        <v>31</v>
      </c>
      <c r="C2103">
        <v>13</v>
      </c>
      <c r="D2103">
        <v>24.8</v>
      </c>
      <c r="E2103">
        <v>322.40000000000003</v>
      </c>
      <c r="F2103" s="1">
        <v>45735</v>
      </c>
      <c r="G2103" s="1">
        <v>45736</v>
      </c>
      <c r="H2103" t="s">
        <v>8</v>
      </c>
      <c r="I2103" t="s">
        <v>3</v>
      </c>
      <c r="J2103">
        <v>4</v>
      </c>
      <c r="K2103" t="s">
        <v>4</v>
      </c>
      <c r="L2103" t="s">
        <v>2189</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5">
      <c r="A2104" t="s">
        <v>2190</v>
      </c>
      <c r="B2104" t="s">
        <v>11</v>
      </c>
      <c r="C2104">
        <v>9</v>
      </c>
      <c r="D2104">
        <v>85.7</v>
      </c>
      <c r="E2104">
        <v>771.30000000000007</v>
      </c>
      <c r="F2104" s="1">
        <v>45735</v>
      </c>
      <c r="G2104" s="1">
        <v>45736</v>
      </c>
      <c r="H2104" t="s">
        <v>12</v>
      </c>
      <c r="I2104" t="s">
        <v>3</v>
      </c>
      <c r="J2104">
        <v>4</v>
      </c>
      <c r="K2104" t="s">
        <v>4</v>
      </c>
      <c r="L2104" t="s">
        <v>422</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5">
      <c r="A2105" t="s">
        <v>2191</v>
      </c>
      <c r="B2105" t="s">
        <v>27</v>
      </c>
      <c r="C2105">
        <v>1</v>
      </c>
      <c r="D2105">
        <v>47.1</v>
      </c>
      <c r="E2105">
        <v>47.1</v>
      </c>
      <c r="F2105" s="1">
        <v>45735</v>
      </c>
      <c r="G2105" s="1">
        <v>45737</v>
      </c>
      <c r="H2105" t="s">
        <v>12</v>
      </c>
      <c r="I2105" t="s">
        <v>3</v>
      </c>
      <c r="J2105">
        <v>4</v>
      </c>
      <c r="K2105" t="s">
        <v>4</v>
      </c>
      <c r="L2105" t="s">
        <v>13</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5">
      <c r="A2106" t="s">
        <v>2192</v>
      </c>
      <c r="B2106" t="s">
        <v>22</v>
      </c>
      <c r="C2106">
        <v>10</v>
      </c>
      <c r="D2106">
        <v>83.2</v>
      </c>
      <c r="E2106">
        <v>832</v>
      </c>
      <c r="F2106" s="1">
        <v>45735</v>
      </c>
      <c r="G2106" s="1">
        <v>45739</v>
      </c>
      <c r="H2106" t="s">
        <v>12</v>
      </c>
      <c r="I2106" t="s">
        <v>3</v>
      </c>
      <c r="J2106">
        <v>4</v>
      </c>
      <c r="K2106" t="s">
        <v>4</v>
      </c>
      <c r="L2106" t="s">
        <v>316</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5">
      <c r="A2107" t="s">
        <v>2193</v>
      </c>
      <c r="B2107" t="s">
        <v>11</v>
      </c>
      <c r="C2107">
        <v>3</v>
      </c>
      <c r="D2107">
        <v>157</v>
      </c>
      <c r="E2107">
        <v>471</v>
      </c>
      <c r="F2107" s="1">
        <v>45735</v>
      </c>
      <c r="G2107" s="1">
        <v>45737</v>
      </c>
      <c r="H2107" t="s">
        <v>12</v>
      </c>
      <c r="I2107" t="s">
        <v>3</v>
      </c>
      <c r="J2107">
        <v>5</v>
      </c>
      <c r="K2107" t="s">
        <v>4</v>
      </c>
      <c r="L2107" t="s">
        <v>132</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5">
      <c r="A2108" t="s">
        <v>2194</v>
      </c>
      <c r="B2108" t="s">
        <v>113</v>
      </c>
      <c r="C2108">
        <v>4</v>
      </c>
      <c r="D2108">
        <v>33.700000000000003</v>
      </c>
      <c r="E2108">
        <v>134.80000000000001</v>
      </c>
      <c r="F2108" s="1">
        <v>45735</v>
      </c>
      <c r="G2108" s="1">
        <v>45736</v>
      </c>
      <c r="H2108" t="s">
        <v>8</v>
      </c>
      <c r="I2108" t="s">
        <v>25</v>
      </c>
      <c r="J2108">
        <v>5</v>
      </c>
      <c r="K2108" t="s">
        <v>4</v>
      </c>
      <c r="L2108" t="s">
        <v>132</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5">
      <c r="A2109" t="s">
        <v>2195</v>
      </c>
      <c r="B2109" t="s">
        <v>11</v>
      </c>
      <c r="C2109">
        <v>3</v>
      </c>
      <c r="D2109">
        <v>60.8</v>
      </c>
      <c r="E2109">
        <v>182.39999999999998</v>
      </c>
      <c r="F2109" s="1">
        <v>45735</v>
      </c>
      <c r="G2109" s="1">
        <v>45739</v>
      </c>
      <c r="H2109" t="s">
        <v>12</v>
      </c>
      <c r="I2109" t="s">
        <v>20</v>
      </c>
      <c r="J2109">
        <v>3</v>
      </c>
      <c r="K2109" t="s">
        <v>4</v>
      </c>
      <c r="L2109" t="s">
        <v>18</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5">
      <c r="A2110" t="s">
        <v>2196</v>
      </c>
      <c r="B2110" t="s">
        <v>27</v>
      </c>
      <c r="C2110">
        <v>1</v>
      </c>
      <c r="D2110">
        <v>57.6</v>
      </c>
      <c r="E2110">
        <v>57.6</v>
      </c>
      <c r="F2110" s="1">
        <v>45735</v>
      </c>
      <c r="G2110" s="1">
        <v>45736</v>
      </c>
      <c r="H2110" t="s">
        <v>8</v>
      </c>
      <c r="I2110" t="s">
        <v>20</v>
      </c>
      <c r="J2110">
        <v>2</v>
      </c>
      <c r="K2110" t="s">
        <v>4</v>
      </c>
      <c r="L2110" t="s">
        <v>18</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5">
      <c r="A2111" t="s">
        <v>2197</v>
      </c>
      <c r="B2111" t="s">
        <v>39</v>
      </c>
      <c r="C2111">
        <v>1</v>
      </c>
      <c r="D2111">
        <v>32</v>
      </c>
      <c r="E2111">
        <v>32</v>
      </c>
      <c r="F2111" s="1">
        <v>45735</v>
      </c>
      <c r="G2111" s="1">
        <v>45737</v>
      </c>
      <c r="H2111" t="s">
        <v>8</v>
      </c>
      <c r="I2111" t="s">
        <v>3</v>
      </c>
      <c r="J2111">
        <v>4</v>
      </c>
      <c r="K2111" t="s">
        <v>4</v>
      </c>
      <c r="L2111" t="s">
        <v>18</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5">
      <c r="A2112" t="s">
        <v>2198</v>
      </c>
      <c r="B2112" t="s">
        <v>39</v>
      </c>
      <c r="C2112">
        <v>4</v>
      </c>
      <c r="D2112">
        <v>23.5</v>
      </c>
      <c r="E2112">
        <v>94</v>
      </c>
      <c r="F2112" s="1">
        <v>45735</v>
      </c>
      <c r="G2112" s="1">
        <v>45736</v>
      </c>
      <c r="H2112" t="s">
        <v>12</v>
      </c>
      <c r="I2112" t="s">
        <v>3</v>
      </c>
      <c r="J2112">
        <v>5</v>
      </c>
      <c r="K2112" t="s">
        <v>4</v>
      </c>
      <c r="L2112" t="s">
        <v>18</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5">
      <c r="A2113" t="s">
        <v>2199</v>
      </c>
      <c r="B2113" t="s">
        <v>54</v>
      </c>
      <c r="C2113">
        <v>3</v>
      </c>
      <c r="D2113">
        <v>44.8</v>
      </c>
      <c r="E2113">
        <v>134.39999999999998</v>
      </c>
      <c r="F2113" s="1">
        <v>45735</v>
      </c>
      <c r="G2113" s="1">
        <v>45736</v>
      </c>
      <c r="H2113" t="s">
        <v>74</v>
      </c>
      <c r="I2113" t="s">
        <v>55</v>
      </c>
      <c r="J2113">
        <v>4</v>
      </c>
      <c r="K2113" t="s">
        <v>4</v>
      </c>
      <c r="L2113" t="s">
        <v>18</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5">
      <c r="A2114" t="s">
        <v>2200</v>
      </c>
      <c r="B2114" t="s">
        <v>1</v>
      </c>
      <c r="C2114">
        <v>8</v>
      </c>
      <c r="D2114">
        <v>11.7</v>
      </c>
      <c r="E2114">
        <v>93.6</v>
      </c>
      <c r="F2114" s="1">
        <v>45735</v>
      </c>
      <c r="G2114" s="1">
        <v>45736</v>
      </c>
      <c r="H2114" t="s">
        <v>8</v>
      </c>
      <c r="I2114" t="s">
        <v>25</v>
      </c>
      <c r="J2114">
        <v>5</v>
      </c>
      <c r="K2114" t="s">
        <v>4</v>
      </c>
      <c r="L2114" t="s">
        <v>18</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5">
      <c r="A2115" t="s">
        <v>2201</v>
      </c>
      <c r="B2115" t="s">
        <v>27</v>
      </c>
      <c r="C2115">
        <v>2</v>
      </c>
      <c r="D2115">
        <v>38.799999999999997</v>
      </c>
      <c r="E2115">
        <v>77.599999999999994</v>
      </c>
      <c r="F2115" s="1">
        <v>45735</v>
      </c>
      <c r="G2115" s="1">
        <v>45738</v>
      </c>
      <c r="H2115" t="s">
        <v>12</v>
      </c>
      <c r="I2115" t="s">
        <v>25</v>
      </c>
      <c r="J2115">
        <v>4</v>
      </c>
      <c r="K2115" t="s">
        <v>4</v>
      </c>
      <c r="L2115" t="s">
        <v>18</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5">
      <c r="A2116" t="s">
        <v>2202</v>
      </c>
      <c r="B2116" t="s">
        <v>22</v>
      </c>
      <c r="C2116">
        <v>14</v>
      </c>
      <c r="D2116">
        <v>86.9</v>
      </c>
      <c r="E2116">
        <v>1216.6000000000001</v>
      </c>
      <c r="F2116" s="1">
        <v>45735</v>
      </c>
      <c r="G2116" s="1">
        <v>45740</v>
      </c>
      <c r="H2116" t="s">
        <v>12</v>
      </c>
      <c r="I2116" t="s">
        <v>20</v>
      </c>
      <c r="J2116">
        <v>4</v>
      </c>
      <c r="K2116" t="s">
        <v>4</v>
      </c>
      <c r="L2116" t="s">
        <v>18</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5">
      <c r="A2117" t="s">
        <v>2203</v>
      </c>
      <c r="B2117" t="s">
        <v>29</v>
      </c>
      <c r="C2117">
        <v>1</v>
      </c>
      <c r="D2117">
        <v>18.3</v>
      </c>
      <c r="E2117">
        <v>18.3</v>
      </c>
      <c r="F2117" s="1">
        <v>45735</v>
      </c>
      <c r="G2117" s="1">
        <v>45736</v>
      </c>
      <c r="H2117" t="s">
        <v>12</v>
      </c>
      <c r="I2117" t="s">
        <v>3</v>
      </c>
      <c r="J2117">
        <v>4</v>
      </c>
      <c r="K2117" t="s">
        <v>4</v>
      </c>
      <c r="L2117" t="s">
        <v>18</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5">
      <c r="A2118" t="s">
        <v>2204</v>
      </c>
      <c r="B2118" t="s">
        <v>22</v>
      </c>
      <c r="C2118">
        <v>1</v>
      </c>
      <c r="D2118">
        <v>47.5</v>
      </c>
      <c r="E2118">
        <v>47.5</v>
      </c>
      <c r="F2118" s="1">
        <v>45735</v>
      </c>
      <c r="G2118" s="1">
        <v>45739</v>
      </c>
      <c r="H2118" t="s">
        <v>8</v>
      </c>
      <c r="I2118" t="s">
        <v>55</v>
      </c>
      <c r="J2118">
        <v>5</v>
      </c>
      <c r="K2118" t="s">
        <v>4</v>
      </c>
      <c r="L2118" t="s">
        <v>18</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5">
      <c r="A2119" t="s">
        <v>2205</v>
      </c>
      <c r="B2119" t="s">
        <v>7</v>
      </c>
      <c r="C2119">
        <v>2</v>
      </c>
      <c r="D2119">
        <v>78.599999999999994</v>
      </c>
      <c r="E2119">
        <v>157.19999999999999</v>
      </c>
      <c r="F2119" s="1">
        <v>45735</v>
      </c>
      <c r="G2119" s="1">
        <v>45736</v>
      </c>
      <c r="H2119" t="s">
        <v>8</v>
      </c>
      <c r="I2119" t="s">
        <v>25</v>
      </c>
      <c r="J2119">
        <v>5</v>
      </c>
      <c r="K2119" t="s">
        <v>4</v>
      </c>
      <c r="L2119" t="s">
        <v>18</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5">
      <c r="A2120" t="s">
        <v>2206</v>
      </c>
      <c r="B2120" t="s">
        <v>24</v>
      </c>
      <c r="C2120">
        <v>4</v>
      </c>
      <c r="D2120">
        <v>87.3</v>
      </c>
      <c r="E2120">
        <v>349.2</v>
      </c>
      <c r="F2120" s="1">
        <v>45735</v>
      </c>
      <c r="G2120" s="1">
        <v>45736</v>
      </c>
      <c r="H2120" t="s">
        <v>8</v>
      </c>
      <c r="I2120" t="s">
        <v>3</v>
      </c>
      <c r="J2120">
        <v>4</v>
      </c>
      <c r="K2120" t="s">
        <v>4</v>
      </c>
      <c r="L2120" t="s">
        <v>18</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5">
      <c r="A2121" t="s">
        <v>2207</v>
      </c>
      <c r="B2121" t="s">
        <v>31</v>
      </c>
      <c r="C2121">
        <v>2</v>
      </c>
      <c r="D2121">
        <v>63.2</v>
      </c>
      <c r="E2121">
        <v>126.4</v>
      </c>
      <c r="F2121" s="1">
        <v>45735</v>
      </c>
      <c r="G2121" s="1">
        <v>45735</v>
      </c>
      <c r="H2121" t="s">
        <v>8</v>
      </c>
      <c r="I2121" t="s">
        <v>55</v>
      </c>
      <c r="J2121">
        <v>3</v>
      </c>
      <c r="K2121" t="s">
        <v>4</v>
      </c>
      <c r="L2121" t="s">
        <v>18</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5">
      <c r="A2122" t="s">
        <v>2208</v>
      </c>
      <c r="B2122" t="s">
        <v>22</v>
      </c>
      <c r="C2122">
        <v>5</v>
      </c>
      <c r="D2122">
        <v>33.700000000000003</v>
      </c>
      <c r="E2122">
        <v>168.5</v>
      </c>
      <c r="F2122" s="1">
        <v>45735</v>
      </c>
      <c r="G2122" s="1">
        <v>45736</v>
      </c>
      <c r="H2122" t="s">
        <v>12</v>
      </c>
      <c r="I2122" t="s">
        <v>3</v>
      </c>
      <c r="J2122">
        <v>4</v>
      </c>
      <c r="K2122" t="s">
        <v>4</v>
      </c>
      <c r="L2122" t="s">
        <v>18</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5">
      <c r="A2123" t="s">
        <v>2209</v>
      </c>
      <c r="B2123" t="s">
        <v>11</v>
      </c>
      <c r="C2123">
        <v>3</v>
      </c>
      <c r="D2123">
        <v>107.4</v>
      </c>
      <c r="E2123">
        <v>322.20000000000005</v>
      </c>
      <c r="F2123" s="1">
        <v>45735</v>
      </c>
      <c r="G2123" s="1">
        <v>45748</v>
      </c>
      <c r="H2123" t="s">
        <v>12</v>
      </c>
      <c r="I2123" t="s">
        <v>20</v>
      </c>
      <c r="J2123">
        <v>5</v>
      </c>
      <c r="K2123" t="s">
        <v>4</v>
      </c>
      <c r="L2123" t="s">
        <v>18</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5">
      <c r="A2124" t="s">
        <v>2210</v>
      </c>
      <c r="B2124" t="s">
        <v>17</v>
      </c>
      <c r="C2124">
        <v>4</v>
      </c>
      <c r="D2124">
        <v>22.2</v>
      </c>
      <c r="E2124">
        <v>88.8</v>
      </c>
      <c r="F2124" s="1">
        <v>45735</v>
      </c>
      <c r="G2124" s="1">
        <v>45736</v>
      </c>
      <c r="H2124" t="s">
        <v>2</v>
      </c>
      <c r="I2124" t="s">
        <v>20</v>
      </c>
      <c r="J2124">
        <v>5</v>
      </c>
      <c r="K2124" t="s">
        <v>4</v>
      </c>
      <c r="L2124" t="s">
        <v>171</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5">
      <c r="A2125" t="s">
        <v>2211</v>
      </c>
      <c r="B2125" t="s">
        <v>131</v>
      </c>
      <c r="C2125">
        <v>3</v>
      </c>
      <c r="D2125">
        <v>52.8</v>
      </c>
      <c r="E2125">
        <v>158.39999999999998</v>
      </c>
      <c r="F2125" s="1">
        <v>45735</v>
      </c>
      <c r="G2125" s="1">
        <v>45736</v>
      </c>
      <c r="H2125" t="s">
        <v>8</v>
      </c>
      <c r="I2125" t="s">
        <v>36</v>
      </c>
      <c r="J2125">
        <v>5</v>
      </c>
      <c r="K2125" t="s">
        <v>4</v>
      </c>
      <c r="L2125" t="s">
        <v>171</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5">
      <c r="A2126" t="s">
        <v>2212</v>
      </c>
      <c r="B2126" t="s">
        <v>29</v>
      </c>
      <c r="C2126">
        <v>3</v>
      </c>
      <c r="D2126">
        <v>41.5</v>
      </c>
      <c r="E2126">
        <v>124.5</v>
      </c>
      <c r="F2126" s="1">
        <v>45735</v>
      </c>
      <c r="G2126" s="1">
        <v>45738</v>
      </c>
      <c r="H2126" t="s">
        <v>12</v>
      </c>
      <c r="I2126" t="s">
        <v>3</v>
      </c>
      <c r="J2126">
        <v>4</v>
      </c>
      <c r="K2126" t="s">
        <v>4</v>
      </c>
      <c r="L2126" t="s">
        <v>173</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5">
      <c r="A2127" t="s">
        <v>2213</v>
      </c>
      <c r="B2127" t="s">
        <v>54</v>
      </c>
      <c r="C2127">
        <v>8</v>
      </c>
      <c r="D2127">
        <v>103.5</v>
      </c>
      <c r="E2127">
        <v>828</v>
      </c>
      <c r="F2127" s="1">
        <v>45735</v>
      </c>
      <c r="G2127" s="1">
        <v>45738</v>
      </c>
      <c r="H2127" t="s">
        <v>12</v>
      </c>
      <c r="I2127" t="s">
        <v>3</v>
      </c>
      <c r="J2127">
        <v>5</v>
      </c>
      <c r="K2127" t="s">
        <v>4</v>
      </c>
      <c r="L2127" t="s">
        <v>143</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5">
      <c r="A2128" t="s">
        <v>2214</v>
      </c>
      <c r="B2128" t="s">
        <v>17</v>
      </c>
      <c r="C2128">
        <v>14</v>
      </c>
      <c r="D2128">
        <v>37.5</v>
      </c>
      <c r="E2128">
        <v>525</v>
      </c>
      <c r="F2128" s="1">
        <v>45735</v>
      </c>
      <c r="G2128" s="1">
        <v>45735</v>
      </c>
      <c r="H2128" t="s">
        <v>12</v>
      </c>
      <c r="I2128" t="s">
        <v>20</v>
      </c>
      <c r="J2128">
        <v>5</v>
      </c>
      <c r="K2128" t="s">
        <v>4</v>
      </c>
      <c r="L2128" t="s">
        <v>40</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5">
      <c r="A2129" t="s">
        <v>2215</v>
      </c>
      <c r="B2129" t="s">
        <v>108</v>
      </c>
      <c r="C2129">
        <v>8</v>
      </c>
      <c r="D2129">
        <v>44.4</v>
      </c>
      <c r="E2129">
        <v>355.2</v>
      </c>
      <c r="F2129" s="1">
        <v>45735</v>
      </c>
      <c r="G2129" s="1">
        <v>45741</v>
      </c>
      <c r="H2129" t="s">
        <v>12</v>
      </c>
      <c r="I2129" t="s">
        <v>36</v>
      </c>
      <c r="J2129">
        <v>5</v>
      </c>
      <c r="K2129" t="s">
        <v>4</v>
      </c>
      <c r="L2129" t="s">
        <v>44</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5">
      <c r="A2130" t="s">
        <v>2216</v>
      </c>
      <c r="B2130" t="s">
        <v>29</v>
      </c>
      <c r="C2130">
        <v>3</v>
      </c>
      <c r="D2130">
        <v>26.2</v>
      </c>
      <c r="E2130">
        <v>78.599999999999994</v>
      </c>
      <c r="F2130" s="1">
        <v>45735</v>
      </c>
      <c r="G2130" s="1">
        <v>45736</v>
      </c>
      <c r="H2130" t="s">
        <v>8</v>
      </c>
      <c r="I2130" t="s">
        <v>3</v>
      </c>
      <c r="J2130">
        <v>4</v>
      </c>
      <c r="K2130" t="s">
        <v>4</v>
      </c>
      <c r="L2130" t="s">
        <v>47</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5">
      <c r="A2131" t="s">
        <v>2217</v>
      </c>
      <c r="B2131" t="s">
        <v>7</v>
      </c>
      <c r="C2131">
        <v>7</v>
      </c>
      <c r="D2131">
        <v>32.200000000000003</v>
      </c>
      <c r="E2131">
        <v>225.40000000000003</v>
      </c>
      <c r="F2131" s="1">
        <v>45735</v>
      </c>
      <c r="G2131" s="1">
        <v>45736</v>
      </c>
      <c r="H2131" t="s">
        <v>12</v>
      </c>
      <c r="I2131" t="s">
        <v>20</v>
      </c>
      <c r="J2131">
        <v>5</v>
      </c>
      <c r="K2131" t="s">
        <v>4</v>
      </c>
      <c r="L2131" t="s">
        <v>47</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5">
      <c r="A2132" t="s">
        <v>2218</v>
      </c>
      <c r="B2132" t="s">
        <v>29</v>
      </c>
      <c r="C2132">
        <v>1</v>
      </c>
      <c r="D2132">
        <v>17.399999999999999</v>
      </c>
      <c r="E2132">
        <v>17.399999999999999</v>
      </c>
      <c r="F2132" s="1">
        <v>45735</v>
      </c>
      <c r="G2132" s="1">
        <v>45739</v>
      </c>
      <c r="H2132" t="s">
        <v>2</v>
      </c>
      <c r="I2132" t="s">
        <v>25</v>
      </c>
      <c r="J2132">
        <v>3</v>
      </c>
      <c r="K2132" t="s">
        <v>4</v>
      </c>
      <c r="L2132" t="s">
        <v>47</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5">
      <c r="A2133" t="s">
        <v>2219</v>
      </c>
      <c r="B2133" t="s">
        <v>29</v>
      </c>
      <c r="C2133">
        <v>6</v>
      </c>
      <c r="D2133">
        <v>72.3</v>
      </c>
      <c r="E2133">
        <v>433.79999999999995</v>
      </c>
      <c r="F2133" s="1">
        <v>45735</v>
      </c>
      <c r="G2133" s="1">
        <v>45738</v>
      </c>
      <c r="H2133" t="s">
        <v>12</v>
      </c>
      <c r="I2133" t="s">
        <v>3</v>
      </c>
      <c r="J2133">
        <v>4</v>
      </c>
      <c r="K2133" t="s">
        <v>4</v>
      </c>
      <c r="L2133" t="s">
        <v>47</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5">
      <c r="A2134" t="s">
        <v>2220</v>
      </c>
      <c r="B2134" t="s">
        <v>29</v>
      </c>
      <c r="C2134">
        <v>11</v>
      </c>
      <c r="D2134">
        <v>24.3</v>
      </c>
      <c r="E2134">
        <v>267.3</v>
      </c>
      <c r="F2134" s="1">
        <v>45735</v>
      </c>
      <c r="G2134" s="1">
        <v>45736</v>
      </c>
      <c r="H2134" t="s">
        <v>8</v>
      </c>
      <c r="I2134" t="s">
        <v>3</v>
      </c>
      <c r="J2134">
        <v>4</v>
      </c>
      <c r="K2134" t="s">
        <v>4</v>
      </c>
      <c r="L2134" t="s">
        <v>47</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5">
      <c r="A2135" t="s">
        <v>2221</v>
      </c>
      <c r="B2135" t="s">
        <v>61</v>
      </c>
      <c r="C2135">
        <v>3</v>
      </c>
      <c r="D2135">
        <v>49.1</v>
      </c>
      <c r="E2135">
        <v>147.30000000000001</v>
      </c>
      <c r="F2135" s="1">
        <v>45735</v>
      </c>
      <c r="G2135" s="1">
        <v>45741</v>
      </c>
      <c r="H2135" t="s">
        <v>8</v>
      </c>
      <c r="I2135" t="s">
        <v>25</v>
      </c>
      <c r="J2135">
        <v>2</v>
      </c>
      <c r="K2135" t="s">
        <v>4</v>
      </c>
      <c r="L2135" t="s">
        <v>47</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5">
      <c r="A2136" t="s">
        <v>2222</v>
      </c>
      <c r="B2136" t="s">
        <v>11</v>
      </c>
      <c r="C2136">
        <v>10</v>
      </c>
      <c r="D2136">
        <v>234.7</v>
      </c>
      <c r="E2136">
        <v>2347</v>
      </c>
      <c r="F2136" s="1">
        <v>45735</v>
      </c>
      <c r="G2136" s="1">
        <v>45736</v>
      </c>
      <c r="H2136" t="s">
        <v>8</v>
      </c>
      <c r="I2136" t="s">
        <v>36</v>
      </c>
      <c r="J2136">
        <v>3</v>
      </c>
      <c r="K2136" t="s">
        <v>4</v>
      </c>
      <c r="L2136" t="s">
        <v>47</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5">
      <c r="A2137" t="s">
        <v>2223</v>
      </c>
      <c r="B2137" t="s">
        <v>15</v>
      </c>
      <c r="C2137">
        <v>5</v>
      </c>
      <c r="D2137">
        <v>76.099999999999994</v>
      </c>
      <c r="E2137">
        <v>380.5</v>
      </c>
      <c r="F2137" s="1">
        <v>45735</v>
      </c>
      <c r="G2137" s="1">
        <v>45737</v>
      </c>
      <c r="H2137" t="s">
        <v>8</v>
      </c>
      <c r="I2137" t="s">
        <v>20</v>
      </c>
      <c r="J2137">
        <v>3</v>
      </c>
      <c r="K2137" t="s">
        <v>4</v>
      </c>
      <c r="L2137" t="s">
        <v>88</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5">
      <c r="A2138" t="s">
        <v>2224</v>
      </c>
      <c r="B2138" t="s">
        <v>7</v>
      </c>
      <c r="C2138">
        <v>3</v>
      </c>
      <c r="D2138">
        <v>93.9</v>
      </c>
      <c r="E2138">
        <v>281.70000000000005</v>
      </c>
      <c r="F2138" s="1">
        <v>45735</v>
      </c>
      <c r="G2138" s="1">
        <v>45736</v>
      </c>
      <c r="H2138" t="s">
        <v>8</v>
      </c>
      <c r="I2138" t="s">
        <v>20</v>
      </c>
      <c r="J2138">
        <v>2</v>
      </c>
      <c r="K2138" t="s">
        <v>4</v>
      </c>
      <c r="L2138" t="s">
        <v>62</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5">
      <c r="A2139" t="s">
        <v>2225</v>
      </c>
      <c r="B2139" t="s">
        <v>11</v>
      </c>
      <c r="C2139">
        <v>4</v>
      </c>
      <c r="D2139">
        <v>187</v>
      </c>
      <c r="E2139">
        <v>748</v>
      </c>
      <c r="F2139" s="1">
        <v>45736</v>
      </c>
      <c r="G2139" s="1">
        <v>45739</v>
      </c>
      <c r="H2139" t="s">
        <v>8</v>
      </c>
      <c r="I2139" t="s">
        <v>3</v>
      </c>
      <c r="J2139">
        <v>4</v>
      </c>
      <c r="K2139" t="s">
        <v>4</v>
      </c>
      <c r="L2139" t="s">
        <v>62</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5">
      <c r="A2140" t="s">
        <v>2226</v>
      </c>
      <c r="B2140" t="s">
        <v>29</v>
      </c>
      <c r="C2140">
        <v>2</v>
      </c>
      <c r="D2140">
        <v>18</v>
      </c>
      <c r="E2140">
        <v>36</v>
      </c>
      <c r="F2140" s="1">
        <v>45736</v>
      </c>
      <c r="G2140" s="1">
        <v>45737</v>
      </c>
      <c r="H2140" t="s">
        <v>12</v>
      </c>
      <c r="I2140" t="s">
        <v>20</v>
      </c>
      <c r="J2140">
        <v>5</v>
      </c>
      <c r="K2140" t="s">
        <v>4</v>
      </c>
      <c r="L2140" t="s">
        <v>1101</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5">
      <c r="A2141" t="s">
        <v>2227</v>
      </c>
      <c r="B2141" t="s">
        <v>17</v>
      </c>
      <c r="C2141">
        <v>1</v>
      </c>
      <c r="D2141">
        <v>24.4</v>
      </c>
      <c r="E2141">
        <v>24.4</v>
      </c>
      <c r="F2141" s="1">
        <v>45736</v>
      </c>
      <c r="G2141" s="1">
        <v>45737</v>
      </c>
      <c r="H2141" t="s">
        <v>12</v>
      </c>
      <c r="I2141" t="s">
        <v>55</v>
      </c>
      <c r="J2141">
        <v>5</v>
      </c>
      <c r="K2141" t="s">
        <v>4</v>
      </c>
      <c r="L2141" t="s">
        <v>100</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5">
      <c r="A2142" t="s">
        <v>2228</v>
      </c>
      <c r="B2142" t="s">
        <v>39</v>
      </c>
      <c r="C2142">
        <v>2</v>
      </c>
      <c r="D2142">
        <v>38.799999999999997</v>
      </c>
      <c r="E2142">
        <v>77.599999999999994</v>
      </c>
      <c r="F2142" s="1">
        <v>45736</v>
      </c>
      <c r="G2142" s="1">
        <v>45737</v>
      </c>
      <c r="H2142" t="s">
        <v>8</v>
      </c>
      <c r="I2142" t="s">
        <v>55</v>
      </c>
      <c r="J2142">
        <v>3</v>
      </c>
      <c r="K2142" t="s">
        <v>4</v>
      </c>
      <c r="L2142" t="s">
        <v>18</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5">
      <c r="A2143" t="s">
        <v>2229</v>
      </c>
      <c r="B2143" t="s">
        <v>15</v>
      </c>
      <c r="C2143">
        <v>1</v>
      </c>
      <c r="D2143">
        <v>59.7</v>
      </c>
      <c r="E2143">
        <v>59.7</v>
      </c>
      <c r="F2143" s="1">
        <v>45736</v>
      </c>
      <c r="G2143" s="1">
        <v>45739</v>
      </c>
      <c r="H2143" t="s">
        <v>8</v>
      </c>
      <c r="I2143" t="s">
        <v>36</v>
      </c>
      <c r="J2143">
        <v>4</v>
      </c>
      <c r="K2143" t="s">
        <v>4</v>
      </c>
      <c r="L2143" t="s">
        <v>18</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5">
      <c r="A2144" t="s">
        <v>2230</v>
      </c>
      <c r="B2144" t="s">
        <v>27</v>
      </c>
      <c r="C2144">
        <v>1</v>
      </c>
      <c r="D2144">
        <v>31.2</v>
      </c>
      <c r="E2144">
        <v>31.2</v>
      </c>
      <c r="F2144" s="1">
        <v>45736</v>
      </c>
      <c r="G2144" s="1">
        <v>45737</v>
      </c>
      <c r="H2144" t="s">
        <v>8</v>
      </c>
      <c r="I2144" t="s">
        <v>20</v>
      </c>
      <c r="J2144">
        <v>5</v>
      </c>
      <c r="K2144" t="s">
        <v>4</v>
      </c>
      <c r="L2144" t="s">
        <v>18</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5">
      <c r="A2145" t="s">
        <v>2231</v>
      </c>
      <c r="B2145" t="s">
        <v>1</v>
      </c>
      <c r="C2145">
        <v>1</v>
      </c>
      <c r="D2145">
        <v>16.8</v>
      </c>
      <c r="E2145">
        <v>16.8</v>
      </c>
      <c r="F2145" s="1">
        <v>45736</v>
      </c>
      <c r="G2145" s="1">
        <v>45737</v>
      </c>
      <c r="H2145" t="s">
        <v>12</v>
      </c>
      <c r="I2145" t="s">
        <v>25</v>
      </c>
      <c r="J2145">
        <v>3</v>
      </c>
      <c r="K2145" t="s">
        <v>4</v>
      </c>
      <c r="L2145" t="s">
        <v>18</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5">
      <c r="A2146" t="s">
        <v>2232</v>
      </c>
      <c r="B2146" t="s">
        <v>29</v>
      </c>
      <c r="C2146">
        <v>1</v>
      </c>
      <c r="D2146">
        <v>46</v>
      </c>
      <c r="E2146">
        <v>46</v>
      </c>
      <c r="F2146" s="1">
        <v>45736</v>
      </c>
      <c r="G2146" s="1">
        <v>45737</v>
      </c>
      <c r="H2146" t="s">
        <v>8</v>
      </c>
      <c r="I2146" t="s">
        <v>3</v>
      </c>
      <c r="J2146">
        <v>4</v>
      </c>
      <c r="K2146" t="s">
        <v>4</v>
      </c>
      <c r="L2146" t="s">
        <v>18</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5">
      <c r="A2147" t="s">
        <v>2233</v>
      </c>
      <c r="B2147" t="s">
        <v>31</v>
      </c>
      <c r="C2147">
        <v>8</v>
      </c>
      <c r="D2147">
        <v>42.2</v>
      </c>
      <c r="E2147">
        <v>337.6</v>
      </c>
      <c r="F2147" s="1">
        <v>45736</v>
      </c>
      <c r="G2147" s="1">
        <v>45739</v>
      </c>
      <c r="H2147" t="s">
        <v>12</v>
      </c>
      <c r="I2147" t="s">
        <v>36</v>
      </c>
      <c r="J2147">
        <v>5</v>
      </c>
      <c r="K2147" t="s">
        <v>4</v>
      </c>
      <c r="L2147" t="s">
        <v>18</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5">
      <c r="A2148" t="s">
        <v>2234</v>
      </c>
      <c r="B2148" t="s">
        <v>7</v>
      </c>
      <c r="C2148">
        <v>3</v>
      </c>
      <c r="D2148">
        <v>71.5</v>
      </c>
      <c r="E2148">
        <v>214.5</v>
      </c>
      <c r="F2148" s="1">
        <v>45736</v>
      </c>
      <c r="G2148" s="1">
        <v>45750</v>
      </c>
      <c r="H2148" t="s">
        <v>12</v>
      </c>
      <c r="I2148" t="s">
        <v>3</v>
      </c>
      <c r="J2148">
        <v>4</v>
      </c>
      <c r="K2148" t="s">
        <v>4</v>
      </c>
      <c r="L2148" t="s">
        <v>18</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5">
      <c r="A2149" t="s">
        <v>2235</v>
      </c>
      <c r="B2149" t="s">
        <v>7</v>
      </c>
      <c r="C2149">
        <v>2</v>
      </c>
      <c r="D2149">
        <v>76.599999999999994</v>
      </c>
      <c r="E2149">
        <v>153.19999999999999</v>
      </c>
      <c r="F2149" s="1">
        <v>45736</v>
      </c>
      <c r="G2149" s="1">
        <v>45736</v>
      </c>
      <c r="H2149" t="s">
        <v>8</v>
      </c>
      <c r="I2149" t="s">
        <v>3</v>
      </c>
      <c r="J2149">
        <v>5</v>
      </c>
      <c r="K2149" t="s">
        <v>4</v>
      </c>
      <c r="L2149" t="s">
        <v>18</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5">
      <c r="A2150" t="s">
        <v>2236</v>
      </c>
      <c r="B2150" t="s">
        <v>54</v>
      </c>
      <c r="C2150">
        <v>2</v>
      </c>
      <c r="D2150">
        <v>87.3</v>
      </c>
      <c r="E2150">
        <v>174.6</v>
      </c>
      <c r="F2150" s="1">
        <v>45736</v>
      </c>
      <c r="G2150" s="1">
        <v>45744</v>
      </c>
      <c r="H2150" t="s">
        <v>12</v>
      </c>
      <c r="I2150" t="s">
        <v>36</v>
      </c>
      <c r="J2150">
        <v>5</v>
      </c>
      <c r="K2150" t="s">
        <v>4</v>
      </c>
      <c r="L2150" t="s">
        <v>18</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5">
      <c r="A2151" t="s">
        <v>2237</v>
      </c>
      <c r="B2151" t="s">
        <v>7</v>
      </c>
      <c r="C2151">
        <v>1</v>
      </c>
      <c r="D2151">
        <v>63</v>
      </c>
      <c r="E2151">
        <v>63</v>
      </c>
      <c r="F2151" s="1">
        <v>45736</v>
      </c>
      <c r="G2151" s="1">
        <v>45739</v>
      </c>
      <c r="H2151" t="s">
        <v>8</v>
      </c>
      <c r="I2151" t="s">
        <v>36</v>
      </c>
      <c r="J2151">
        <v>4</v>
      </c>
      <c r="K2151" t="s">
        <v>4</v>
      </c>
      <c r="L2151" t="s">
        <v>18</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5">
      <c r="A2152" t="s">
        <v>2238</v>
      </c>
      <c r="B2152" t="s">
        <v>29</v>
      </c>
      <c r="C2152">
        <v>2</v>
      </c>
      <c r="D2152">
        <v>41.7</v>
      </c>
      <c r="E2152">
        <v>83.4</v>
      </c>
      <c r="F2152" s="1">
        <v>45736</v>
      </c>
      <c r="G2152" s="1">
        <v>45737</v>
      </c>
      <c r="H2152" t="s">
        <v>12</v>
      </c>
      <c r="I2152" t="s">
        <v>55</v>
      </c>
      <c r="J2152">
        <v>3</v>
      </c>
      <c r="K2152" t="s">
        <v>4</v>
      </c>
      <c r="L2152" t="s">
        <v>530</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5">
      <c r="A2153" t="s">
        <v>2239</v>
      </c>
      <c r="B2153" t="s">
        <v>24</v>
      </c>
      <c r="C2153">
        <v>2</v>
      </c>
      <c r="D2153">
        <v>76.099999999999994</v>
      </c>
      <c r="E2153">
        <v>152.19999999999999</v>
      </c>
      <c r="F2153" s="1">
        <v>45736</v>
      </c>
      <c r="G2153" s="1">
        <v>45736</v>
      </c>
      <c r="H2153" t="s">
        <v>12</v>
      </c>
      <c r="I2153" t="s">
        <v>55</v>
      </c>
      <c r="J2153">
        <v>5</v>
      </c>
      <c r="K2153" t="s">
        <v>4</v>
      </c>
      <c r="L2153" t="s">
        <v>83</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5">
      <c r="A2154" t="s">
        <v>2240</v>
      </c>
      <c r="B2154" t="s">
        <v>61</v>
      </c>
      <c r="C2154">
        <v>2</v>
      </c>
      <c r="D2154">
        <v>28.5</v>
      </c>
      <c r="E2154">
        <v>57</v>
      </c>
      <c r="F2154" s="1">
        <v>45736</v>
      </c>
      <c r="G2154" s="1">
        <v>45737</v>
      </c>
      <c r="H2154" t="s">
        <v>12</v>
      </c>
      <c r="I2154" t="s">
        <v>3</v>
      </c>
      <c r="J2154">
        <v>5</v>
      </c>
      <c r="K2154" t="s">
        <v>4</v>
      </c>
      <c r="L2154" t="s">
        <v>34</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5">
      <c r="A2155" t="s">
        <v>2241</v>
      </c>
      <c r="B2155" t="s">
        <v>1</v>
      </c>
      <c r="C2155">
        <v>4</v>
      </c>
      <c r="D2155">
        <v>32.1</v>
      </c>
      <c r="E2155">
        <v>128.4</v>
      </c>
      <c r="F2155" s="1">
        <v>45736</v>
      </c>
      <c r="G2155" s="1">
        <v>45737</v>
      </c>
      <c r="H2155" t="s">
        <v>12</v>
      </c>
      <c r="I2155" t="s">
        <v>20</v>
      </c>
      <c r="J2155">
        <v>5</v>
      </c>
      <c r="K2155" t="s">
        <v>4</v>
      </c>
      <c r="L2155" t="s">
        <v>173</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5">
      <c r="A2156" t="s">
        <v>2242</v>
      </c>
      <c r="B2156" t="s">
        <v>17</v>
      </c>
      <c r="C2156">
        <v>3</v>
      </c>
      <c r="D2156">
        <v>39</v>
      </c>
      <c r="E2156">
        <v>117</v>
      </c>
      <c r="F2156" s="1">
        <v>45736</v>
      </c>
      <c r="G2156" s="1">
        <v>45739</v>
      </c>
      <c r="H2156" t="s">
        <v>8</v>
      </c>
      <c r="I2156" t="s">
        <v>20</v>
      </c>
      <c r="J2156">
        <v>5</v>
      </c>
      <c r="K2156" t="s">
        <v>4</v>
      </c>
      <c r="L2156" t="s">
        <v>173</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5">
      <c r="A2157" t="s">
        <v>2243</v>
      </c>
      <c r="B2157" t="s">
        <v>24</v>
      </c>
      <c r="C2157">
        <v>1</v>
      </c>
      <c r="D2157">
        <v>78.5</v>
      </c>
      <c r="E2157">
        <v>78.5</v>
      </c>
      <c r="F2157" s="1">
        <v>45736</v>
      </c>
      <c r="G2157" s="1">
        <v>45737</v>
      </c>
      <c r="H2157" t="s">
        <v>8</v>
      </c>
      <c r="I2157" t="s">
        <v>20</v>
      </c>
      <c r="J2157">
        <v>4</v>
      </c>
      <c r="K2157" t="s">
        <v>4</v>
      </c>
      <c r="L2157" t="s">
        <v>40</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5">
      <c r="A2158" t="s">
        <v>2244</v>
      </c>
      <c r="B2158" t="s">
        <v>17</v>
      </c>
      <c r="C2158">
        <v>5</v>
      </c>
      <c r="D2158">
        <v>49.7</v>
      </c>
      <c r="E2158">
        <v>248.5</v>
      </c>
      <c r="F2158" s="1">
        <v>45736</v>
      </c>
      <c r="G2158" s="1">
        <v>45738</v>
      </c>
      <c r="H2158" t="s">
        <v>12</v>
      </c>
      <c r="I2158" t="s">
        <v>3</v>
      </c>
      <c r="J2158">
        <v>4</v>
      </c>
      <c r="K2158" t="s">
        <v>4</v>
      </c>
      <c r="L2158" t="s">
        <v>40</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5">
      <c r="A2159" t="s">
        <v>2245</v>
      </c>
      <c r="B2159" t="s">
        <v>7</v>
      </c>
      <c r="C2159">
        <v>4</v>
      </c>
      <c r="D2159">
        <v>68.400000000000006</v>
      </c>
      <c r="E2159">
        <v>273.60000000000002</v>
      </c>
      <c r="F2159" s="1">
        <v>45736</v>
      </c>
      <c r="G2159" s="1">
        <v>45737</v>
      </c>
      <c r="H2159" t="s">
        <v>12</v>
      </c>
      <c r="I2159" t="s">
        <v>25</v>
      </c>
      <c r="J2159">
        <v>5</v>
      </c>
      <c r="K2159" t="s">
        <v>4</v>
      </c>
      <c r="L2159" t="s">
        <v>44</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5">
      <c r="A2160" t="s">
        <v>2246</v>
      </c>
      <c r="B2160" t="s">
        <v>15</v>
      </c>
      <c r="C2160">
        <v>2</v>
      </c>
      <c r="D2160">
        <v>72.900000000000006</v>
      </c>
      <c r="E2160">
        <v>145.80000000000001</v>
      </c>
      <c r="F2160" s="1">
        <v>45736</v>
      </c>
      <c r="G2160" s="1">
        <v>45739</v>
      </c>
      <c r="H2160" t="s">
        <v>2</v>
      </c>
      <c r="I2160" t="s">
        <v>3</v>
      </c>
      <c r="J2160">
        <v>5</v>
      </c>
      <c r="K2160" t="s">
        <v>4</v>
      </c>
      <c r="L2160" t="s">
        <v>44</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5">
      <c r="A2161" t="s">
        <v>2247</v>
      </c>
      <c r="B2161" t="s">
        <v>22</v>
      </c>
      <c r="C2161">
        <v>13</v>
      </c>
      <c r="D2161">
        <v>30.3</v>
      </c>
      <c r="E2161">
        <v>393.90000000000003</v>
      </c>
      <c r="F2161" s="1">
        <v>45736</v>
      </c>
      <c r="G2161" s="1">
        <v>45737</v>
      </c>
      <c r="H2161" t="s">
        <v>8</v>
      </c>
      <c r="I2161" t="s">
        <v>55</v>
      </c>
      <c r="J2161">
        <v>4</v>
      </c>
      <c r="K2161" t="s">
        <v>4</v>
      </c>
      <c r="L2161" t="s">
        <v>44</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5">
      <c r="A2162" t="s">
        <v>2248</v>
      </c>
      <c r="B2162" t="s">
        <v>24</v>
      </c>
      <c r="C2162">
        <v>11</v>
      </c>
      <c r="D2162">
        <v>57.9</v>
      </c>
      <c r="E2162">
        <v>636.9</v>
      </c>
      <c r="F2162" s="1">
        <v>45736</v>
      </c>
      <c r="G2162" s="1">
        <v>45737</v>
      </c>
      <c r="H2162" t="s">
        <v>12</v>
      </c>
      <c r="I2162" t="s">
        <v>3</v>
      </c>
      <c r="J2162">
        <v>4</v>
      </c>
      <c r="K2162" t="s">
        <v>4</v>
      </c>
      <c r="L2162" t="s">
        <v>47</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5">
      <c r="A2163" t="s">
        <v>2249</v>
      </c>
      <c r="B2163" t="s">
        <v>7</v>
      </c>
      <c r="C2163">
        <v>1</v>
      </c>
      <c r="D2163">
        <v>96.7</v>
      </c>
      <c r="E2163">
        <v>96.7</v>
      </c>
      <c r="F2163" s="1">
        <v>45736</v>
      </c>
      <c r="G2163" s="1">
        <v>45737</v>
      </c>
      <c r="H2163" t="s">
        <v>8</v>
      </c>
      <c r="I2163" t="s">
        <v>3</v>
      </c>
      <c r="J2163">
        <v>4</v>
      </c>
      <c r="K2163" t="s">
        <v>4</v>
      </c>
      <c r="L2163" t="s">
        <v>47</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5">
      <c r="A2164" t="s">
        <v>2250</v>
      </c>
      <c r="B2164" t="s">
        <v>29</v>
      </c>
      <c r="C2164">
        <v>12</v>
      </c>
      <c r="D2164">
        <v>27.6</v>
      </c>
      <c r="E2164">
        <v>331.20000000000005</v>
      </c>
      <c r="F2164" s="1">
        <v>45736</v>
      </c>
      <c r="G2164" s="1">
        <v>45738</v>
      </c>
      <c r="H2164" t="s">
        <v>8</v>
      </c>
      <c r="I2164" t="s">
        <v>25</v>
      </c>
      <c r="J2164">
        <v>5</v>
      </c>
      <c r="K2164" t="s">
        <v>4</v>
      </c>
      <c r="L2164" t="s">
        <v>47</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5">
      <c r="A2165" t="s">
        <v>2251</v>
      </c>
      <c r="B2165" t="s">
        <v>24</v>
      </c>
      <c r="C2165">
        <v>4</v>
      </c>
      <c r="D2165">
        <v>64.7</v>
      </c>
      <c r="E2165">
        <v>258.8</v>
      </c>
      <c r="F2165" s="1">
        <v>45736</v>
      </c>
      <c r="G2165" s="1">
        <v>45736</v>
      </c>
      <c r="H2165" t="s">
        <v>8</v>
      </c>
      <c r="I2165" t="s">
        <v>36</v>
      </c>
      <c r="J2165">
        <v>5</v>
      </c>
      <c r="K2165" t="s">
        <v>4</v>
      </c>
      <c r="L2165" t="s">
        <v>47</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5">
      <c r="A2166" t="s">
        <v>2252</v>
      </c>
      <c r="B2166" t="s">
        <v>39</v>
      </c>
      <c r="C2166">
        <v>6</v>
      </c>
      <c r="D2166">
        <v>30.5</v>
      </c>
      <c r="E2166">
        <v>183</v>
      </c>
      <c r="F2166" s="1">
        <v>45736</v>
      </c>
      <c r="G2166" s="1">
        <v>45737</v>
      </c>
      <c r="H2166" t="s">
        <v>8</v>
      </c>
      <c r="I2166" t="s">
        <v>55</v>
      </c>
      <c r="J2166">
        <v>4</v>
      </c>
      <c r="K2166" t="s">
        <v>4</v>
      </c>
      <c r="L2166" t="s">
        <v>47</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5">
      <c r="A2167" t="s">
        <v>2253</v>
      </c>
      <c r="B2167" t="s">
        <v>24</v>
      </c>
      <c r="C2167">
        <v>70</v>
      </c>
      <c r="D2167">
        <v>106</v>
      </c>
      <c r="E2167">
        <v>7420</v>
      </c>
      <c r="F2167" s="1">
        <v>45737</v>
      </c>
      <c r="G2167" s="1">
        <v>45739</v>
      </c>
      <c r="H2167" t="s">
        <v>8</v>
      </c>
      <c r="I2167" t="s">
        <v>55</v>
      </c>
      <c r="J2167">
        <v>5</v>
      </c>
      <c r="K2167" t="s">
        <v>4</v>
      </c>
      <c r="L2167" t="s">
        <v>47</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5">
      <c r="A2168" t="s">
        <v>2254</v>
      </c>
      <c r="B2168" t="s">
        <v>54</v>
      </c>
      <c r="C2168">
        <v>5</v>
      </c>
      <c r="D2168">
        <v>76.8</v>
      </c>
      <c r="E2168">
        <v>384</v>
      </c>
      <c r="F2168" s="1">
        <v>45737</v>
      </c>
      <c r="G2168" s="1">
        <v>45743</v>
      </c>
      <c r="H2168" t="s">
        <v>2</v>
      </c>
      <c r="I2168" t="s">
        <v>20</v>
      </c>
      <c r="J2168">
        <v>3</v>
      </c>
      <c r="K2168" t="s">
        <v>4</v>
      </c>
      <c r="L2168" t="s">
        <v>93</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5">
      <c r="A2169" t="s">
        <v>2255</v>
      </c>
      <c r="B2169" t="s">
        <v>24</v>
      </c>
      <c r="C2169">
        <v>2</v>
      </c>
      <c r="D2169">
        <v>80.400000000000006</v>
      </c>
      <c r="E2169">
        <v>160.80000000000001</v>
      </c>
      <c r="F2169" s="1">
        <v>45737</v>
      </c>
      <c r="G2169" s="1">
        <v>45738</v>
      </c>
      <c r="H2169" t="s">
        <v>12</v>
      </c>
      <c r="I2169" t="s">
        <v>25</v>
      </c>
      <c r="J2169">
        <v>4</v>
      </c>
      <c r="K2169" t="s">
        <v>4</v>
      </c>
      <c r="L2169" t="s">
        <v>67</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5">
      <c r="A2170" t="s">
        <v>2256</v>
      </c>
      <c r="B2170" t="s">
        <v>24</v>
      </c>
      <c r="C2170">
        <v>4</v>
      </c>
      <c r="D2170">
        <v>69.099999999999994</v>
      </c>
      <c r="E2170">
        <v>276.39999999999998</v>
      </c>
      <c r="F2170" s="1">
        <v>45737</v>
      </c>
      <c r="G2170" s="1">
        <v>45738</v>
      </c>
      <c r="H2170" t="s">
        <v>8</v>
      </c>
      <c r="I2170" t="s">
        <v>20</v>
      </c>
      <c r="J2170">
        <v>5</v>
      </c>
      <c r="K2170" t="s">
        <v>4</v>
      </c>
      <c r="L2170" t="s">
        <v>100</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5">
      <c r="A2171" t="s">
        <v>2257</v>
      </c>
      <c r="B2171" t="s">
        <v>131</v>
      </c>
      <c r="C2171">
        <v>2</v>
      </c>
      <c r="D2171">
        <v>76.400000000000006</v>
      </c>
      <c r="E2171">
        <v>152.80000000000001</v>
      </c>
      <c r="F2171" s="1">
        <v>45737</v>
      </c>
      <c r="G2171" s="1">
        <v>45737</v>
      </c>
      <c r="H2171" t="s">
        <v>8</v>
      </c>
      <c r="I2171" t="s">
        <v>36</v>
      </c>
      <c r="J2171">
        <v>4</v>
      </c>
      <c r="K2171" t="s">
        <v>4</v>
      </c>
      <c r="L2171" t="s">
        <v>100</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5">
      <c r="A2172" t="s">
        <v>2258</v>
      </c>
      <c r="B2172" t="s">
        <v>11</v>
      </c>
      <c r="C2172">
        <v>2</v>
      </c>
      <c r="D2172">
        <v>61.3</v>
      </c>
      <c r="E2172">
        <v>122.6</v>
      </c>
      <c r="F2172" s="1">
        <v>45737</v>
      </c>
      <c r="G2172" s="1">
        <v>45738</v>
      </c>
      <c r="H2172" t="s">
        <v>12</v>
      </c>
      <c r="I2172" t="s">
        <v>20</v>
      </c>
      <c r="J2172">
        <v>3</v>
      </c>
      <c r="K2172" t="s">
        <v>4</v>
      </c>
      <c r="L2172" t="s">
        <v>100</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5">
      <c r="A2173" t="s">
        <v>2259</v>
      </c>
      <c r="B2173" t="s">
        <v>27</v>
      </c>
      <c r="C2173">
        <v>1</v>
      </c>
      <c r="D2173">
        <v>58</v>
      </c>
      <c r="E2173">
        <v>58</v>
      </c>
      <c r="F2173" s="1">
        <v>45737</v>
      </c>
      <c r="G2173" s="1">
        <v>45738</v>
      </c>
      <c r="H2173" t="s">
        <v>8</v>
      </c>
      <c r="I2173" t="s">
        <v>36</v>
      </c>
      <c r="J2173">
        <v>3</v>
      </c>
      <c r="K2173" t="s">
        <v>4</v>
      </c>
      <c r="L2173" t="s">
        <v>9</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5">
      <c r="A2174" t="s">
        <v>2260</v>
      </c>
      <c r="B2174" t="s">
        <v>11</v>
      </c>
      <c r="C2174">
        <v>8</v>
      </c>
      <c r="D2174">
        <v>102.3</v>
      </c>
      <c r="E2174">
        <v>818.4</v>
      </c>
      <c r="F2174" s="1">
        <v>45737</v>
      </c>
      <c r="G2174" s="1">
        <v>45739</v>
      </c>
      <c r="H2174" t="s">
        <v>8</v>
      </c>
      <c r="I2174" t="s">
        <v>25</v>
      </c>
      <c r="J2174">
        <v>4</v>
      </c>
      <c r="K2174" t="s">
        <v>4</v>
      </c>
      <c r="L2174" t="s">
        <v>422</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5">
      <c r="A2175" t="s">
        <v>2261</v>
      </c>
      <c r="B2175" t="s">
        <v>156</v>
      </c>
      <c r="C2175">
        <v>2</v>
      </c>
      <c r="D2175">
        <v>13.8</v>
      </c>
      <c r="E2175">
        <v>27.6</v>
      </c>
      <c r="F2175" s="1">
        <v>45737</v>
      </c>
      <c r="G2175" s="1">
        <v>45738</v>
      </c>
      <c r="H2175" t="s">
        <v>12</v>
      </c>
      <c r="I2175" t="s">
        <v>55</v>
      </c>
      <c r="J2175">
        <v>5</v>
      </c>
      <c r="K2175" t="s">
        <v>4</v>
      </c>
      <c r="L2175" t="s">
        <v>13</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5">
      <c r="A2176" t="s">
        <v>2262</v>
      </c>
      <c r="B2176" t="s">
        <v>29</v>
      </c>
      <c r="C2176">
        <v>3</v>
      </c>
      <c r="D2176">
        <v>33.299999999999997</v>
      </c>
      <c r="E2176">
        <v>99.899999999999991</v>
      </c>
      <c r="F2176" s="1">
        <v>45737</v>
      </c>
      <c r="G2176" s="1">
        <v>45740</v>
      </c>
      <c r="H2176" t="s">
        <v>12</v>
      </c>
      <c r="I2176" t="s">
        <v>25</v>
      </c>
      <c r="J2176">
        <v>4</v>
      </c>
      <c r="K2176" t="s">
        <v>4</v>
      </c>
      <c r="L2176" t="s">
        <v>132</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5">
      <c r="A2177" t="s">
        <v>2263</v>
      </c>
      <c r="B2177" t="s">
        <v>39</v>
      </c>
      <c r="C2177">
        <v>1</v>
      </c>
      <c r="D2177">
        <v>27.4</v>
      </c>
      <c r="E2177">
        <v>27.4</v>
      </c>
      <c r="F2177" s="1">
        <v>45737</v>
      </c>
      <c r="G2177" s="1">
        <v>45740</v>
      </c>
      <c r="H2177" t="s">
        <v>8</v>
      </c>
      <c r="I2177" t="s">
        <v>3</v>
      </c>
      <c r="J2177">
        <v>5</v>
      </c>
      <c r="K2177" t="s">
        <v>4</v>
      </c>
      <c r="L2177" t="s">
        <v>132</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5">
      <c r="A2178" t="s">
        <v>2264</v>
      </c>
      <c r="B2178" t="s">
        <v>66</v>
      </c>
      <c r="C2178">
        <v>2</v>
      </c>
      <c r="D2178">
        <v>25.6</v>
      </c>
      <c r="E2178">
        <v>51.2</v>
      </c>
      <c r="F2178" s="1">
        <v>45737</v>
      </c>
      <c r="G2178" s="1">
        <v>45738</v>
      </c>
      <c r="H2178" t="s">
        <v>12</v>
      </c>
      <c r="I2178" t="s">
        <v>20</v>
      </c>
      <c r="J2178">
        <v>3</v>
      </c>
      <c r="K2178" t="s">
        <v>4</v>
      </c>
      <c r="L2178" t="s">
        <v>18</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5">
      <c r="A2179" t="s">
        <v>2265</v>
      </c>
      <c r="B2179" t="s">
        <v>61</v>
      </c>
      <c r="C2179">
        <v>1</v>
      </c>
      <c r="D2179">
        <v>58.4</v>
      </c>
      <c r="E2179">
        <v>58.4</v>
      </c>
      <c r="F2179" s="1">
        <v>45737</v>
      </c>
      <c r="G2179" s="1">
        <v>45738</v>
      </c>
      <c r="H2179" t="s">
        <v>12</v>
      </c>
      <c r="I2179" t="s">
        <v>25</v>
      </c>
      <c r="J2179">
        <v>5</v>
      </c>
      <c r="K2179" t="s">
        <v>4</v>
      </c>
      <c r="L2179" t="s">
        <v>18</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5">
      <c r="A2180" t="s">
        <v>2266</v>
      </c>
      <c r="B2180" t="s">
        <v>52</v>
      </c>
      <c r="C2180">
        <v>30</v>
      </c>
      <c r="D2180">
        <v>27</v>
      </c>
      <c r="E2180">
        <v>810</v>
      </c>
      <c r="F2180" s="1">
        <v>45737</v>
      </c>
      <c r="G2180" s="1">
        <v>45738</v>
      </c>
      <c r="H2180" t="s">
        <v>12</v>
      </c>
      <c r="I2180" t="s">
        <v>55</v>
      </c>
      <c r="J2180">
        <v>4</v>
      </c>
      <c r="K2180" t="s">
        <v>4</v>
      </c>
      <c r="L2180" t="s">
        <v>18</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5">
      <c r="A2181" t="s">
        <v>2267</v>
      </c>
      <c r="B2181" t="s">
        <v>1</v>
      </c>
      <c r="C2181">
        <v>4</v>
      </c>
      <c r="D2181">
        <v>14.2</v>
      </c>
      <c r="E2181">
        <v>56.8</v>
      </c>
      <c r="F2181" s="1">
        <v>45737</v>
      </c>
      <c r="G2181" s="1">
        <v>45738</v>
      </c>
      <c r="H2181" t="s">
        <v>8</v>
      </c>
      <c r="I2181" t="s">
        <v>3</v>
      </c>
      <c r="J2181">
        <v>5</v>
      </c>
      <c r="K2181" t="s">
        <v>4</v>
      </c>
      <c r="L2181" t="s">
        <v>18</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5">
      <c r="A2182" t="s">
        <v>2268</v>
      </c>
      <c r="B2182" t="s">
        <v>27</v>
      </c>
      <c r="C2182">
        <v>2</v>
      </c>
      <c r="D2182">
        <v>68</v>
      </c>
      <c r="E2182">
        <v>136</v>
      </c>
      <c r="F2182" s="1">
        <v>45737</v>
      </c>
      <c r="G2182" s="1">
        <v>45747</v>
      </c>
      <c r="H2182" t="s">
        <v>8</v>
      </c>
      <c r="I2182" t="s">
        <v>25</v>
      </c>
      <c r="J2182">
        <v>3</v>
      </c>
      <c r="K2182" t="s">
        <v>4</v>
      </c>
      <c r="L2182" t="s">
        <v>18</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5">
      <c r="A2183" t="s">
        <v>2269</v>
      </c>
      <c r="B2183" t="s">
        <v>29</v>
      </c>
      <c r="C2183">
        <v>1</v>
      </c>
      <c r="D2183">
        <v>30.7</v>
      </c>
      <c r="E2183">
        <v>30.7</v>
      </c>
      <c r="F2183" s="1">
        <v>45737</v>
      </c>
      <c r="G2183" s="1">
        <v>45738</v>
      </c>
      <c r="H2183" t="s">
        <v>8</v>
      </c>
      <c r="I2183" t="s">
        <v>3</v>
      </c>
      <c r="J2183">
        <v>4</v>
      </c>
      <c r="K2183" t="s">
        <v>4</v>
      </c>
      <c r="L2183" t="s">
        <v>18</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5">
      <c r="A2184" t="s">
        <v>2270</v>
      </c>
      <c r="B2184" t="s">
        <v>120</v>
      </c>
      <c r="C2184">
        <v>13</v>
      </c>
      <c r="D2184">
        <v>51.6</v>
      </c>
      <c r="E2184">
        <v>670.80000000000007</v>
      </c>
      <c r="F2184" s="1">
        <v>45737</v>
      </c>
      <c r="G2184" s="1">
        <v>45740</v>
      </c>
      <c r="H2184" t="s">
        <v>74</v>
      </c>
      <c r="I2184" t="s">
        <v>20</v>
      </c>
      <c r="J2184">
        <v>5</v>
      </c>
      <c r="K2184" t="s">
        <v>4</v>
      </c>
      <c r="L2184" t="s">
        <v>18</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5">
      <c r="A2185" t="s">
        <v>2271</v>
      </c>
      <c r="B2185" t="s">
        <v>29</v>
      </c>
      <c r="C2185">
        <v>3</v>
      </c>
      <c r="D2185">
        <v>20.6</v>
      </c>
      <c r="E2185">
        <v>61.800000000000004</v>
      </c>
      <c r="F2185" s="1">
        <v>45737</v>
      </c>
      <c r="G2185" s="1">
        <v>45741</v>
      </c>
      <c r="H2185" t="s">
        <v>12</v>
      </c>
      <c r="I2185" t="s">
        <v>55</v>
      </c>
      <c r="J2185">
        <v>5</v>
      </c>
      <c r="K2185" t="s">
        <v>4</v>
      </c>
      <c r="L2185" t="s">
        <v>18</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5">
      <c r="A2186" t="s">
        <v>2272</v>
      </c>
      <c r="B2186" t="s">
        <v>29</v>
      </c>
      <c r="C2186">
        <v>1</v>
      </c>
      <c r="D2186">
        <v>24.8</v>
      </c>
      <c r="E2186">
        <v>24.8</v>
      </c>
      <c r="F2186" s="1">
        <v>45737</v>
      </c>
      <c r="G2186" s="1">
        <v>45738</v>
      </c>
      <c r="H2186" t="s">
        <v>8</v>
      </c>
      <c r="I2186" t="s">
        <v>55</v>
      </c>
      <c r="J2186">
        <v>4</v>
      </c>
      <c r="K2186" t="s">
        <v>4</v>
      </c>
      <c r="L2186" t="s">
        <v>18</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5">
      <c r="A2187" t="s">
        <v>2273</v>
      </c>
      <c r="B2187" t="s">
        <v>1</v>
      </c>
      <c r="C2187">
        <v>7</v>
      </c>
      <c r="D2187">
        <v>11.2</v>
      </c>
      <c r="E2187">
        <v>78.399999999999991</v>
      </c>
      <c r="F2187" s="1">
        <v>45737</v>
      </c>
      <c r="G2187" s="1">
        <v>45740</v>
      </c>
      <c r="H2187" t="s">
        <v>8</v>
      </c>
      <c r="I2187" t="s">
        <v>20</v>
      </c>
      <c r="J2187">
        <v>4</v>
      </c>
      <c r="K2187" t="s">
        <v>4</v>
      </c>
      <c r="L2187" t="s">
        <v>18</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5">
      <c r="A2188" t="s">
        <v>2274</v>
      </c>
      <c r="B2188" t="s">
        <v>52</v>
      </c>
      <c r="C2188">
        <v>2</v>
      </c>
      <c r="D2188">
        <v>51.2</v>
      </c>
      <c r="E2188">
        <v>102.4</v>
      </c>
      <c r="F2188" s="1">
        <v>45737</v>
      </c>
      <c r="G2188" s="1">
        <v>45738</v>
      </c>
      <c r="H2188" t="s">
        <v>12</v>
      </c>
      <c r="I2188" t="s">
        <v>20</v>
      </c>
      <c r="J2188">
        <v>5</v>
      </c>
      <c r="K2188" t="s">
        <v>4</v>
      </c>
      <c r="L2188" t="s">
        <v>18</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5">
      <c r="A2189" t="s">
        <v>2275</v>
      </c>
      <c r="B2189" t="s">
        <v>27</v>
      </c>
      <c r="C2189">
        <v>6</v>
      </c>
      <c r="D2189">
        <v>90.5</v>
      </c>
      <c r="E2189">
        <v>543</v>
      </c>
      <c r="F2189" s="1">
        <v>45737</v>
      </c>
      <c r="G2189" s="1">
        <v>45738</v>
      </c>
      <c r="H2189" t="s">
        <v>12</v>
      </c>
      <c r="I2189" t="s">
        <v>20</v>
      </c>
      <c r="J2189">
        <v>2</v>
      </c>
      <c r="K2189" t="s">
        <v>4</v>
      </c>
      <c r="L2189" t="s">
        <v>18</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5">
      <c r="A2190" t="s">
        <v>2276</v>
      </c>
      <c r="B2190" t="s">
        <v>7</v>
      </c>
      <c r="C2190">
        <v>2</v>
      </c>
      <c r="D2190">
        <v>42.4</v>
      </c>
      <c r="E2190">
        <v>84.8</v>
      </c>
      <c r="F2190" s="1">
        <v>45737</v>
      </c>
      <c r="G2190" s="1">
        <v>45738</v>
      </c>
      <c r="H2190" t="s">
        <v>8</v>
      </c>
      <c r="I2190" t="s">
        <v>20</v>
      </c>
      <c r="J2190">
        <v>5</v>
      </c>
      <c r="K2190" t="s">
        <v>4</v>
      </c>
      <c r="L2190" t="s">
        <v>34</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5">
      <c r="A2191" t="s">
        <v>2277</v>
      </c>
      <c r="B2191" t="s">
        <v>7</v>
      </c>
      <c r="C2191">
        <v>2</v>
      </c>
      <c r="D2191">
        <v>38.200000000000003</v>
      </c>
      <c r="E2191">
        <v>76.400000000000006</v>
      </c>
      <c r="F2191" s="1">
        <v>45737</v>
      </c>
      <c r="G2191" s="1">
        <v>45738</v>
      </c>
      <c r="H2191" t="s">
        <v>8</v>
      </c>
      <c r="I2191" t="s">
        <v>3</v>
      </c>
      <c r="J2191">
        <v>4</v>
      </c>
      <c r="K2191" t="s">
        <v>4</v>
      </c>
      <c r="L2191" t="s">
        <v>37</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5">
      <c r="A2192" t="s">
        <v>2278</v>
      </c>
      <c r="B2192" t="s">
        <v>11</v>
      </c>
      <c r="C2192">
        <v>9</v>
      </c>
      <c r="D2192">
        <v>121.3</v>
      </c>
      <c r="E2192">
        <v>1091.7</v>
      </c>
      <c r="F2192" s="1">
        <v>45737</v>
      </c>
      <c r="G2192" s="1">
        <v>45742</v>
      </c>
      <c r="H2192" t="s">
        <v>8</v>
      </c>
      <c r="I2192" t="s">
        <v>3</v>
      </c>
      <c r="J2192">
        <v>4</v>
      </c>
      <c r="K2192" t="s">
        <v>4</v>
      </c>
      <c r="L2192" t="s">
        <v>40</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5">
      <c r="A2193" t="s">
        <v>2279</v>
      </c>
      <c r="B2193" t="s">
        <v>24</v>
      </c>
      <c r="C2193">
        <v>2</v>
      </c>
      <c r="D2193">
        <v>46.9</v>
      </c>
      <c r="E2193">
        <v>93.8</v>
      </c>
      <c r="F2193" s="1">
        <v>45737</v>
      </c>
      <c r="G2193" s="1">
        <v>45744</v>
      </c>
      <c r="H2193" t="s">
        <v>8</v>
      </c>
      <c r="I2193" t="s">
        <v>3</v>
      </c>
      <c r="J2193">
        <v>4</v>
      </c>
      <c r="K2193" t="s">
        <v>4</v>
      </c>
      <c r="L2193" t="s">
        <v>47</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5">
      <c r="A2194" t="s">
        <v>2280</v>
      </c>
      <c r="B2194" t="s">
        <v>39</v>
      </c>
      <c r="C2194">
        <v>1</v>
      </c>
      <c r="D2194">
        <v>55.3</v>
      </c>
      <c r="E2194">
        <v>55.3</v>
      </c>
      <c r="F2194" s="1">
        <v>45737</v>
      </c>
      <c r="G2194" s="1">
        <v>45739</v>
      </c>
      <c r="H2194" t="s">
        <v>8</v>
      </c>
      <c r="I2194" t="s">
        <v>3</v>
      </c>
      <c r="J2194">
        <v>4</v>
      </c>
      <c r="K2194" t="s">
        <v>4</v>
      </c>
      <c r="L2194" t="s">
        <v>47</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5">
      <c r="A2195" t="s">
        <v>2281</v>
      </c>
      <c r="B2195" t="s">
        <v>11</v>
      </c>
      <c r="C2195">
        <v>3</v>
      </c>
      <c r="D2195">
        <v>70.599999999999994</v>
      </c>
      <c r="E2195">
        <v>211.79999999999998</v>
      </c>
      <c r="F2195" s="1">
        <v>45738</v>
      </c>
      <c r="G2195" s="1">
        <v>45738</v>
      </c>
      <c r="H2195" t="s">
        <v>12</v>
      </c>
      <c r="I2195" t="s">
        <v>3</v>
      </c>
      <c r="J2195">
        <v>3</v>
      </c>
      <c r="K2195" t="s">
        <v>4</v>
      </c>
      <c r="L2195" t="s">
        <v>47</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5">
      <c r="A2196" t="s">
        <v>2282</v>
      </c>
      <c r="B2196" t="s">
        <v>66</v>
      </c>
      <c r="C2196">
        <v>4</v>
      </c>
      <c r="D2196">
        <v>26.1</v>
      </c>
      <c r="E2196">
        <v>104.4</v>
      </c>
      <c r="F2196" s="1">
        <v>45738</v>
      </c>
      <c r="G2196" s="1">
        <v>45740</v>
      </c>
      <c r="H2196" t="s">
        <v>8</v>
      </c>
      <c r="I2196" t="s">
        <v>3</v>
      </c>
      <c r="J2196">
        <v>4</v>
      </c>
      <c r="K2196" t="s">
        <v>4</v>
      </c>
      <c r="L2196" t="s">
        <v>47</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5">
      <c r="A2197" t="s">
        <v>2283</v>
      </c>
      <c r="B2197" t="s">
        <v>31</v>
      </c>
      <c r="C2197">
        <v>11</v>
      </c>
      <c r="D2197">
        <v>34.5</v>
      </c>
      <c r="E2197">
        <v>379.5</v>
      </c>
      <c r="F2197" s="1">
        <v>45738</v>
      </c>
      <c r="G2197" s="1">
        <v>45742</v>
      </c>
      <c r="H2197" t="s">
        <v>8</v>
      </c>
      <c r="I2197" t="s">
        <v>25</v>
      </c>
      <c r="J2197">
        <v>4</v>
      </c>
      <c r="K2197" t="s">
        <v>4</v>
      </c>
      <c r="L2197" t="s">
        <v>88</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5">
      <c r="A2198" t="s">
        <v>2284</v>
      </c>
      <c r="B2198" t="s">
        <v>7</v>
      </c>
      <c r="C2198">
        <v>2</v>
      </c>
      <c r="D2198">
        <v>64.2</v>
      </c>
      <c r="E2198">
        <v>128.4</v>
      </c>
      <c r="F2198" s="1">
        <v>45738</v>
      </c>
      <c r="G2198" s="1">
        <v>45739</v>
      </c>
      <c r="H2198" t="s">
        <v>12</v>
      </c>
      <c r="I2198" t="s">
        <v>3</v>
      </c>
      <c r="J2198">
        <v>3</v>
      </c>
      <c r="K2198" t="s">
        <v>4</v>
      </c>
      <c r="L2198" t="s">
        <v>88</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5">
      <c r="A2199" t="s">
        <v>2285</v>
      </c>
      <c r="B2199" t="s">
        <v>11</v>
      </c>
      <c r="C2199">
        <v>4</v>
      </c>
      <c r="D2199">
        <v>145.69999999999999</v>
      </c>
      <c r="E2199">
        <v>582.79999999999995</v>
      </c>
      <c r="F2199" s="1">
        <v>45738</v>
      </c>
      <c r="G2199" s="1">
        <v>45739</v>
      </c>
      <c r="H2199" t="s">
        <v>12</v>
      </c>
      <c r="I2199" t="s">
        <v>3</v>
      </c>
      <c r="J2199">
        <v>2</v>
      </c>
      <c r="K2199" t="s">
        <v>4</v>
      </c>
      <c r="L2199" t="s">
        <v>88</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5">
      <c r="A2200" t="s">
        <v>2286</v>
      </c>
      <c r="B2200" t="s">
        <v>54</v>
      </c>
      <c r="C2200">
        <v>2</v>
      </c>
      <c r="D2200">
        <v>78.5</v>
      </c>
      <c r="E2200">
        <v>157</v>
      </c>
      <c r="F2200" s="1">
        <v>45738</v>
      </c>
      <c r="G2200" s="1">
        <v>45739</v>
      </c>
      <c r="H2200" t="s">
        <v>8</v>
      </c>
      <c r="I2200" t="s">
        <v>25</v>
      </c>
      <c r="J2200">
        <v>4</v>
      </c>
      <c r="K2200" t="s">
        <v>4</v>
      </c>
      <c r="L2200" t="s">
        <v>186</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5">
      <c r="A2201" t="s">
        <v>2287</v>
      </c>
      <c r="B2201" t="s">
        <v>7</v>
      </c>
      <c r="C2201">
        <v>1</v>
      </c>
      <c r="D2201">
        <v>34.200000000000003</v>
      </c>
      <c r="E2201">
        <v>34.200000000000003</v>
      </c>
      <c r="F2201" s="1">
        <v>45738</v>
      </c>
      <c r="G2201" s="1">
        <v>45740</v>
      </c>
      <c r="H2201" t="s">
        <v>8</v>
      </c>
      <c r="I2201" t="s">
        <v>3</v>
      </c>
      <c r="J2201">
        <v>4</v>
      </c>
      <c r="K2201" t="s">
        <v>4</v>
      </c>
      <c r="L2201" t="s">
        <v>57</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5">
      <c r="A2202" t="s">
        <v>2288</v>
      </c>
      <c r="B2202" t="s">
        <v>156</v>
      </c>
      <c r="C2202">
        <v>1</v>
      </c>
      <c r="D2202">
        <v>26.2</v>
      </c>
      <c r="E2202">
        <v>26.2</v>
      </c>
      <c r="F2202" s="1">
        <v>45738</v>
      </c>
      <c r="G2202" s="1">
        <v>45739</v>
      </c>
      <c r="H2202" t="s">
        <v>8</v>
      </c>
      <c r="I2202" t="s">
        <v>25</v>
      </c>
      <c r="J2202">
        <v>4</v>
      </c>
      <c r="K2202" t="s">
        <v>4</v>
      </c>
      <c r="L2202" t="s">
        <v>57</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5">
      <c r="A2203" t="s">
        <v>2289</v>
      </c>
      <c r="B2203" t="s">
        <v>24</v>
      </c>
      <c r="C2203">
        <v>4</v>
      </c>
      <c r="D2203">
        <v>53.2</v>
      </c>
      <c r="E2203">
        <v>212.8</v>
      </c>
      <c r="F2203" s="1">
        <v>45738</v>
      </c>
      <c r="G2203" s="1">
        <v>45739</v>
      </c>
      <c r="H2203" t="s">
        <v>8</v>
      </c>
      <c r="I2203" t="s">
        <v>20</v>
      </c>
      <c r="J2203">
        <v>3</v>
      </c>
      <c r="K2203" t="s">
        <v>4</v>
      </c>
      <c r="L2203" t="s">
        <v>62</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5">
      <c r="A2204" t="s">
        <v>2290</v>
      </c>
      <c r="B2204" t="s">
        <v>7</v>
      </c>
      <c r="C2204">
        <v>1</v>
      </c>
      <c r="D2204">
        <v>35.4</v>
      </c>
      <c r="E2204">
        <v>35.4</v>
      </c>
      <c r="F2204" s="1">
        <v>45738</v>
      </c>
      <c r="G2204" s="1">
        <v>45742</v>
      </c>
      <c r="H2204" t="s">
        <v>8</v>
      </c>
      <c r="I2204" t="s">
        <v>20</v>
      </c>
      <c r="J2204">
        <v>2</v>
      </c>
      <c r="K2204" t="s">
        <v>4</v>
      </c>
      <c r="L2204" t="s">
        <v>93</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5">
      <c r="A2205" t="s">
        <v>2291</v>
      </c>
      <c r="B2205" t="s">
        <v>66</v>
      </c>
      <c r="C2205">
        <v>2</v>
      </c>
      <c r="D2205">
        <v>21.3</v>
      </c>
      <c r="E2205">
        <v>42.6</v>
      </c>
      <c r="F2205" s="1">
        <v>45738</v>
      </c>
      <c r="G2205" s="1">
        <v>45739</v>
      </c>
      <c r="H2205" t="s">
        <v>8</v>
      </c>
      <c r="I2205" t="s">
        <v>25</v>
      </c>
      <c r="J2205">
        <v>4</v>
      </c>
      <c r="K2205" t="s">
        <v>4</v>
      </c>
      <c r="L2205" t="s">
        <v>98</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5">
      <c r="A2206" t="s">
        <v>2292</v>
      </c>
      <c r="B2206" t="s">
        <v>29</v>
      </c>
      <c r="C2206">
        <v>4</v>
      </c>
      <c r="D2206">
        <v>32.9</v>
      </c>
      <c r="E2206">
        <v>131.6</v>
      </c>
      <c r="F2206" s="1">
        <v>45738</v>
      </c>
      <c r="G2206" s="1">
        <v>45741</v>
      </c>
      <c r="H2206" t="s">
        <v>12</v>
      </c>
      <c r="I2206" t="s">
        <v>55</v>
      </c>
      <c r="J2206">
        <v>5</v>
      </c>
      <c r="K2206" t="s">
        <v>4</v>
      </c>
      <c r="L2206" t="s">
        <v>100</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5">
      <c r="A2207" t="s">
        <v>2293</v>
      </c>
      <c r="B2207" t="s">
        <v>22</v>
      </c>
      <c r="C2207">
        <v>15</v>
      </c>
      <c r="D2207">
        <v>85.5</v>
      </c>
      <c r="E2207">
        <v>1282.5</v>
      </c>
      <c r="F2207" s="1">
        <v>45738</v>
      </c>
      <c r="G2207" s="1">
        <v>45740</v>
      </c>
      <c r="H2207" t="s">
        <v>12</v>
      </c>
      <c r="I2207" t="s">
        <v>36</v>
      </c>
      <c r="J2207">
        <v>3</v>
      </c>
      <c r="K2207" t="s">
        <v>4</v>
      </c>
      <c r="L2207" t="s">
        <v>100</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5">
      <c r="A2208" t="s">
        <v>2294</v>
      </c>
      <c r="B2208" t="s">
        <v>17</v>
      </c>
      <c r="C2208">
        <v>1</v>
      </c>
      <c r="D2208">
        <v>26.8</v>
      </c>
      <c r="E2208">
        <v>26.8</v>
      </c>
      <c r="F2208" s="1">
        <v>45738</v>
      </c>
      <c r="G2208" s="1">
        <v>45739</v>
      </c>
      <c r="H2208" t="s">
        <v>12</v>
      </c>
      <c r="I2208" t="s">
        <v>3</v>
      </c>
      <c r="J2208">
        <v>3</v>
      </c>
      <c r="K2208" t="s">
        <v>4</v>
      </c>
      <c r="L2208" t="s">
        <v>13</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5">
      <c r="A2209" t="s">
        <v>2295</v>
      </c>
      <c r="B2209" t="s">
        <v>31</v>
      </c>
      <c r="C2209">
        <v>26</v>
      </c>
      <c r="D2209">
        <v>31.7</v>
      </c>
      <c r="E2209">
        <v>824.19999999999993</v>
      </c>
      <c r="F2209" s="1">
        <v>45738</v>
      </c>
      <c r="G2209" s="1">
        <v>45738</v>
      </c>
      <c r="H2209" t="s">
        <v>12</v>
      </c>
      <c r="I2209" t="s">
        <v>36</v>
      </c>
      <c r="J2209">
        <v>4</v>
      </c>
      <c r="K2209" t="s">
        <v>4</v>
      </c>
      <c r="L2209" t="s">
        <v>13</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5">
      <c r="A2210" t="s">
        <v>2296</v>
      </c>
      <c r="B2210" t="s">
        <v>7</v>
      </c>
      <c r="C2210">
        <v>2</v>
      </c>
      <c r="D2210">
        <v>78.3</v>
      </c>
      <c r="E2210">
        <v>156.6</v>
      </c>
      <c r="F2210" s="1">
        <v>45738</v>
      </c>
      <c r="G2210" s="1">
        <v>45740</v>
      </c>
      <c r="H2210" t="s">
        <v>12</v>
      </c>
      <c r="I2210" t="s">
        <v>20</v>
      </c>
      <c r="J2210">
        <v>3</v>
      </c>
      <c r="K2210" t="s">
        <v>4</v>
      </c>
      <c r="L2210" t="s">
        <v>18</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5">
      <c r="A2211" t="s">
        <v>2297</v>
      </c>
      <c r="B2211" t="s">
        <v>24</v>
      </c>
      <c r="C2211">
        <v>1</v>
      </c>
      <c r="D2211">
        <v>43.9</v>
      </c>
      <c r="E2211">
        <v>43.9</v>
      </c>
      <c r="F2211" s="1">
        <v>45738</v>
      </c>
      <c r="G2211" s="1">
        <v>45739</v>
      </c>
      <c r="H2211" t="s">
        <v>8</v>
      </c>
      <c r="I2211" t="s">
        <v>3</v>
      </c>
      <c r="J2211">
        <v>4</v>
      </c>
      <c r="K2211" t="s">
        <v>4</v>
      </c>
      <c r="L2211" t="s">
        <v>18</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5">
      <c r="A2212" t="s">
        <v>2298</v>
      </c>
      <c r="B2212" t="s">
        <v>131</v>
      </c>
      <c r="C2212">
        <v>3</v>
      </c>
      <c r="D2212">
        <v>84</v>
      </c>
      <c r="E2212">
        <v>252</v>
      </c>
      <c r="F2212" s="1">
        <v>45738</v>
      </c>
      <c r="G2212" s="1">
        <v>45740</v>
      </c>
      <c r="H2212" t="s">
        <v>2</v>
      </c>
      <c r="I2212" t="s">
        <v>36</v>
      </c>
      <c r="J2212">
        <v>5</v>
      </c>
      <c r="K2212" t="s">
        <v>4</v>
      </c>
      <c r="L2212" t="s">
        <v>18</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5">
      <c r="A2213" t="s">
        <v>2299</v>
      </c>
      <c r="B2213" t="s">
        <v>1</v>
      </c>
      <c r="C2213">
        <v>3</v>
      </c>
      <c r="D2213">
        <v>11.4</v>
      </c>
      <c r="E2213">
        <v>34.200000000000003</v>
      </c>
      <c r="F2213" s="1">
        <v>45738</v>
      </c>
      <c r="G2213" s="1">
        <v>45739</v>
      </c>
      <c r="H2213" t="s">
        <v>8</v>
      </c>
      <c r="I2213" t="s">
        <v>55</v>
      </c>
      <c r="J2213">
        <v>4</v>
      </c>
      <c r="K2213" t="s">
        <v>4</v>
      </c>
      <c r="L2213" t="s">
        <v>18</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5">
      <c r="A2214" t="s">
        <v>2300</v>
      </c>
      <c r="B2214" t="s">
        <v>54</v>
      </c>
      <c r="C2214">
        <v>8</v>
      </c>
      <c r="D2214">
        <v>47.5</v>
      </c>
      <c r="E2214">
        <v>380</v>
      </c>
      <c r="F2214" s="1">
        <v>45738</v>
      </c>
      <c r="G2214" s="1">
        <v>45746</v>
      </c>
      <c r="H2214" t="s">
        <v>12</v>
      </c>
      <c r="I2214" t="s">
        <v>3</v>
      </c>
      <c r="J2214">
        <v>4</v>
      </c>
      <c r="K2214" t="s">
        <v>4</v>
      </c>
      <c r="L2214" t="s">
        <v>18</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5">
      <c r="A2215" t="s">
        <v>2301</v>
      </c>
      <c r="B2215" t="s">
        <v>31</v>
      </c>
      <c r="C2215">
        <v>11</v>
      </c>
      <c r="D2215">
        <v>50.5</v>
      </c>
      <c r="E2215">
        <v>555.5</v>
      </c>
      <c r="F2215" s="1">
        <v>45738</v>
      </c>
      <c r="G2215" s="1">
        <v>45740</v>
      </c>
      <c r="H2215" t="s">
        <v>8</v>
      </c>
      <c r="I2215" t="s">
        <v>25</v>
      </c>
      <c r="J2215">
        <v>4</v>
      </c>
      <c r="K2215" t="s">
        <v>4</v>
      </c>
      <c r="L2215" t="s">
        <v>18</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5">
      <c r="A2216" t="s">
        <v>2302</v>
      </c>
      <c r="B2216" t="s">
        <v>108</v>
      </c>
      <c r="C2216">
        <v>1</v>
      </c>
      <c r="D2216">
        <v>36.299999999999997</v>
      </c>
      <c r="E2216">
        <v>36.299999999999997</v>
      </c>
      <c r="F2216" s="1">
        <v>45738</v>
      </c>
      <c r="G2216" s="1">
        <v>45741</v>
      </c>
      <c r="H2216" t="s">
        <v>74</v>
      </c>
      <c r="I2216" t="s">
        <v>3</v>
      </c>
      <c r="J2216">
        <v>3</v>
      </c>
      <c r="K2216" t="s">
        <v>4</v>
      </c>
      <c r="L2216" t="s">
        <v>47</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5">
      <c r="A2217" t="s">
        <v>2303</v>
      </c>
      <c r="B2217" t="s">
        <v>29</v>
      </c>
      <c r="C2217">
        <v>2</v>
      </c>
      <c r="D2217">
        <v>35.4</v>
      </c>
      <c r="E2217">
        <v>70.8</v>
      </c>
      <c r="F2217" s="1">
        <v>45738</v>
      </c>
      <c r="G2217" s="1">
        <v>45739</v>
      </c>
      <c r="H2217" t="s">
        <v>12</v>
      </c>
      <c r="I2217" t="s">
        <v>3</v>
      </c>
      <c r="J2217">
        <v>4</v>
      </c>
      <c r="K2217" t="s">
        <v>4</v>
      </c>
      <c r="L2217" t="s">
        <v>88</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5">
      <c r="A2218" t="s">
        <v>2304</v>
      </c>
      <c r="B2218" t="s">
        <v>7</v>
      </c>
      <c r="C2218">
        <v>3</v>
      </c>
      <c r="D2218">
        <v>45.9</v>
      </c>
      <c r="E2218">
        <v>137.69999999999999</v>
      </c>
      <c r="F2218" s="1">
        <v>45739</v>
      </c>
      <c r="G2218" s="1">
        <v>45740</v>
      </c>
      <c r="H2218" t="s">
        <v>8</v>
      </c>
      <c r="I2218" t="s">
        <v>36</v>
      </c>
      <c r="J2218">
        <v>4</v>
      </c>
      <c r="K2218" t="s">
        <v>4</v>
      </c>
      <c r="L2218" t="s">
        <v>57</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5">
      <c r="A2219" t="s">
        <v>2305</v>
      </c>
      <c r="B2219" t="s">
        <v>24</v>
      </c>
      <c r="C2219">
        <v>10</v>
      </c>
      <c r="D2219">
        <v>41.2</v>
      </c>
      <c r="E2219">
        <v>412</v>
      </c>
      <c r="F2219" s="1">
        <v>45739</v>
      </c>
      <c r="G2219" s="1">
        <v>45743</v>
      </c>
      <c r="H2219" t="s">
        <v>8</v>
      </c>
      <c r="I2219" t="s">
        <v>3</v>
      </c>
      <c r="J2219">
        <v>4</v>
      </c>
      <c r="K2219" t="s">
        <v>4</v>
      </c>
      <c r="L2219" t="s">
        <v>62</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5">
      <c r="A2220" t="s">
        <v>2306</v>
      </c>
      <c r="B2220" t="s">
        <v>120</v>
      </c>
      <c r="C2220">
        <v>2</v>
      </c>
      <c r="D2220">
        <v>45.1</v>
      </c>
      <c r="E2220">
        <v>90.2</v>
      </c>
      <c r="F2220" s="1">
        <v>45739</v>
      </c>
      <c r="G2220" s="1">
        <v>45740</v>
      </c>
      <c r="H2220" t="s">
        <v>8</v>
      </c>
      <c r="I2220" t="s">
        <v>20</v>
      </c>
      <c r="J2220">
        <v>3</v>
      </c>
      <c r="K2220" t="s">
        <v>4</v>
      </c>
      <c r="L2220" t="s">
        <v>100</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5">
      <c r="A2221" t="s">
        <v>2307</v>
      </c>
      <c r="B2221" t="s">
        <v>24</v>
      </c>
      <c r="C2221">
        <v>10</v>
      </c>
      <c r="D2221">
        <v>63.6</v>
      </c>
      <c r="E2221">
        <v>636</v>
      </c>
      <c r="F2221" s="1">
        <v>45739</v>
      </c>
      <c r="G2221" s="1">
        <v>45739</v>
      </c>
      <c r="H2221" t="s">
        <v>8</v>
      </c>
      <c r="I2221" t="s">
        <v>25</v>
      </c>
      <c r="J2221">
        <v>4</v>
      </c>
      <c r="K2221" t="s">
        <v>4</v>
      </c>
      <c r="L2221" t="s">
        <v>9</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5">
      <c r="A2222" t="s">
        <v>2308</v>
      </c>
      <c r="B2222" t="s">
        <v>29</v>
      </c>
      <c r="C2222">
        <v>1</v>
      </c>
      <c r="D2222">
        <v>70.5</v>
      </c>
      <c r="E2222">
        <v>70.5</v>
      </c>
      <c r="F2222" s="1">
        <v>45739</v>
      </c>
      <c r="G2222" s="1">
        <v>45740</v>
      </c>
      <c r="H2222" t="s">
        <v>8</v>
      </c>
      <c r="I2222" t="s">
        <v>3</v>
      </c>
      <c r="J2222">
        <v>4</v>
      </c>
      <c r="K2222" t="s">
        <v>4</v>
      </c>
      <c r="L2222" t="s">
        <v>18</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5">
      <c r="A2223" t="s">
        <v>2309</v>
      </c>
      <c r="B2223" t="s">
        <v>24</v>
      </c>
      <c r="C2223">
        <v>1</v>
      </c>
      <c r="D2223">
        <v>41.3</v>
      </c>
      <c r="E2223">
        <v>41.3</v>
      </c>
      <c r="F2223" s="1">
        <v>45739</v>
      </c>
      <c r="G2223" s="1">
        <v>45739</v>
      </c>
      <c r="H2223" t="s">
        <v>8</v>
      </c>
      <c r="I2223" t="s">
        <v>55</v>
      </c>
      <c r="J2223">
        <v>4</v>
      </c>
      <c r="K2223" t="s">
        <v>4</v>
      </c>
      <c r="L2223" t="s">
        <v>18</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5">
      <c r="A2224" t="s">
        <v>2310</v>
      </c>
      <c r="B2224" t="s">
        <v>17</v>
      </c>
      <c r="C2224">
        <v>1</v>
      </c>
      <c r="D2224">
        <v>35.299999999999997</v>
      </c>
      <c r="E2224">
        <v>35.299999999999997</v>
      </c>
      <c r="F2224" s="1">
        <v>45739</v>
      </c>
      <c r="G2224" s="1">
        <v>45742</v>
      </c>
      <c r="H2224" t="s">
        <v>12</v>
      </c>
      <c r="I2224" t="s">
        <v>55</v>
      </c>
      <c r="J2224">
        <v>5</v>
      </c>
      <c r="K2224" t="s">
        <v>4</v>
      </c>
      <c r="L2224" t="s">
        <v>18</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5">
      <c r="A2225" t="s">
        <v>2311</v>
      </c>
      <c r="B2225" t="s">
        <v>29</v>
      </c>
      <c r="C2225">
        <v>5</v>
      </c>
      <c r="D2225">
        <v>34.700000000000003</v>
      </c>
      <c r="E2225">
        <v>173.5</v>
      </c>
      <c r="F2225" s="1">
        <v>45739</v>
      </c>
      <c r="G2225" s="1">
        <v>45740</v>
      </c>
      <c r="H2225" t="s">
        <v>12</v>
      </c>
      <c r="I2225" t="s">
        <v>3</v>
      </c>
      <c r="J2225">
        <v>5</v>
      </c>
      <c r="K2225" t="s">
        <v>4</v>
      </c>
      <c r="L2225" t="s">
        <v>18</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5">
      <c r="A2226" t="s">
        <v>2312</v>
      </c>
      <c r="B2226" t="s">
        <v>29</v>
      </c>
      <c r="C2226">
        <v>3</v>
      </c>
      <c r="D2226">
        <v>26.1</v>
      </c>
      <c r="E2226">
        <v>78.300000000000011</v>
      </c>
      <c r="F2226" s="1">
        <v>45739</v>
      </c>
      <c r="G2226" s="1">
        <v>45740</v>
      </c>
      <c r="H2226" t="s">
        <v>12</v>
      </c>
      <c r="I2226" t="s">
        <v>3</v>
      </c>
      <c r="J2226">
        <v>4</v>
      </c>
      <c r="K2226" t="s">
        <v>4</v>
      </c>
      <c r="L2226" t="s">
        <v>18</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5">
      <c r="A2227" t="s">
        <v>2313</v>
      </c>
      <c r="B2227" t="s">
        <v>31</v>
      </c>
      <c r="C2227">
        <v>5</v>
      </c>
      <c r="D2227">
        <v>22.6</v>
      </c>
      <c r="E2227">
        <v>113</v>
      </c>
      <c r="F2227" s="1">
        <v>45739</v>
      </c>
      <c r="G2227" s="1">
        <v>45739</v>
      </c>
      <c r="H2227" t="s">
        <v>12</v>
      </c>
      <c r="I2227" t="s">
        <v>20</v>
      </c>
      <c r="J2227">
        <v>5</v>
      </c>
      <c r="K2227" t="s">
        <v>4</v>
      </c>
      <c r="L2227" t="s">
        <v>18</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5">
      <c r="A2228" t="s">
        <v>2314</v>
      </c>
      <c r="B2228" t="s">
        <v>11</v>
      </c>
      <c r="C2228">
        <v>2</v>
      </c>
      <c r="D2228">
        <v>154.4</v>
      </c>
      <c r="E2228">
        <v>308.8</v>
      </c>
      <c r="F2228" s="1">
        <v>45739</v>
      </c>
      <c r="G2228" s="1">
        <v>45742</v>
      </c>
      <c r="H2228" t="s">
        <v>8</v>
      </c>
      <c r="I2228" t="s">
        <v>20</v>
      </c>
      <c r="J2228">
        <v>3</v>
      </c>
      <c r="K2228" t="s">
        <v>4</v>
      </c>
      <c r="L2228" t="s">
        <v>18</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5">
      <c r="A2229" t="s">
        <v>2315</v>
      </c>
      <c r="B2229" t="s">
        <v>29</v>
      </c>
      <c r="C2229">
        <v>2</v>
      </c>
      <c r="D2229">
        <v>18.399999999999999</v>
      </c>
      <c r="E2229">
        <v>36.799999999999997</v>
      </c>
      <c r="F2229" s="1">
        <v>45739</v>
      </c>
      <c r="G2229" s="1">
        <v>45740</v>
      </c>
      <c r="H2229" t="s">
        <v>8</v>
      </c>
      <c r="I2229" t="s">
        <v>3</v>
      </c>
      <c r="J2229">
        <v>4</v>
      </c>
      <c r="K2229" t="s">
        <v>4</v>
      </c>
      <c r="L2229" t="s">
        <v>18</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5">
      <c r="A2230" t="s">
        <v>2316</v>
      </c>
      <c r="B2230" t="s">
        <v>66</v>
      </c>
      <c r="C2230">
        <v>1</v>
      </c>
      <c r="D2230">
        <v>25</v>
      </c>
      <c r="E2230">
        <v>25</v>
      </c>
      <c r="F2230" s="1">
        <v>45739</v>
      </c>
      <c r="G2230" s="1">
        <v>45742</v>
      </c>
      <c r="H2230" t="s">
        <v>12</v>
      </c>
      <c r="I2230" t="s">
        <v>3</v>
      </c>
      <c r="J2230">
        <v>4</v>
      </c>
      <c r="K2230" t="s">
        <v>4</v>
      </c>
      <c r="L2230" t="s">
        <v>18</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5">
      <c r="A2231" t="s">
        <v>2317</v>
      </c>
      <c r="B2231" t="s">
        <v>11</v>
      </c>
      <c r="C2231">
        <v>6</v>
      </c>
      <c r="D2231">
        <v>105.6</v>
      </c>
      <c r="E2231">
        <v>633.59999999999991</v>
      </c>
      <c r="F2231" s="1">
        <v>45739</v>
      </c>
      <c r="G2231" s="1">
        <v>45739</v>
      </c>
      <c r="H2231" t="s">
        <v>12</v>
      </c>
      <c r="I2231" t="s">
        <v>3</v>
      </c>
      <c r="J2231">
        <v>4</v>
      </c>
      <c r="K2231" t="s">
        <v>4</v>
      </c>
      <c r="L2231" t="s">
        <v>18</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5">
      <c r="A2232" t="s">
        <v>2318</v>
      </c>
      <c r="B2232" t="s">
        <v>131</v>
      </c>
      <c r="C2232">
        <v>8</v>
      </c>
      <c r="D2232">
        <v>59.6</v>
      </c>
      <c r="E2232">
        <v>476.8</v>
      </c>
      <c r="F2232" s="1">
        <v>45739</v>
      </c>
      <c r="G2232" s="1">
        <v>45739</v>
      </c>
      <c r="H2232" t="s">
        <v>12</v>
      </c>
      <c r="I2232" t="s">
        <v>3</v>
      </c>
      <c r="J2232">
        <v>5</v>
      </c>
      <c r="K2232" t="s">
        <v>4</v>
      </c>
      <c r="L2232" t="s">
        <v>143</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5">
      <c r="A2233" t="s">
        <v>2319</v>
      </c>
      <c r="B2233" t="s">
        <v>108</v>
      </c>
      <c r="C2233">
        <v>3</v>
      </c>
      <c r="D2233">
        <v>75.400000000000006</v>
      </c>
      <c r="E2233">
        <v>226.20000000000002</v>
      </c>
      <c r="F2233" s="1">
        <v>45739</v>
      </c>
      <c r="G2233" s="1">
        <v>45744</v>
      </c>
      <c r="H2233" t="s">
        <v>8</v>
      </c>
      <c r="I2233" t="s">
        <v>3</v>
      </c>
      <c r="J2233">
        <v>3</v>
      </c>
      <c r="K2233" t="s">
        <v>4</v>
      </c>
      <c r="L2233" t="s">
        <v>44</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5">
      <c r="A2234" t="s">
        <v>2320</v>
      </c>
      <c r="B2234" t="s">
        <v>27</v>
      </c>
      <c r="C2234">
        <v>1</v>
      </c>
      <c r="D2234">
        <v>104.4</v>
      </c>
      <c r="E2234">
        <v>104.4</v>
      </c>
      <c r="F2234" s="1">
        <v>45739</v>
      </c>
      <c r="G2234" s="1">
        <v>45740</v>
      </c>
      <c r="H2234" t="s">
        <v>12</v>
      </c>
      <c r="I2234" t="s">
        <v>3</v>
      </c>
      <c r="J2234">
        <v>4</v>
      </c>
      <c r="K2234" t="s">
        <v>4</v>
      </c>
      <c r="L2234" t="s">
        <v>47</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5">
      <c r="A2235" t="s">
        <v>2321</v>
      </c>
      <c r="B2235" t="s">
        <v>11</v>
      </c>
      <c r="C2235">
        <v>10</v>
      </c>
      <c r="D2235">
        <v>208.2</v>
      </c>
      <c r="E2235">
        <v>2082</v>
      </c>
      <c r="F2235" s="1">
        <v>45739</v>
      </c>
      <c r="G2235" s="1">
        <v>45740</v>
      </c>
      <c r="H2235" t="s">
        <v>8</v>
      </c>
      <c r="I2235" t="s">
        <v>3</v>
      </c>
      <c r="J2235">
        <v>5</v>
      </c>
      <c r="K2235" t="s">
        <v>4</v>
      </c>
      <c r="L2235" t="s">
        <v>47</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5">
      <c r="A2236" t="s">
        <v>2322</v>
      </c>
      <c r="B2236" t="s">
        <v>24</v>
      </c>
      <c r="C2236">
        <v>2</v>
      </c>
      <c r="D2236">
        <v>45</v>
      </c>
      <c r="E2236">
        <v>90</v>
      </c>
      <c r="F2236" s="1">
        <v>45739</v>
      </c>
      <c r="G2236" s="1">
        <v>45742</v>
      </c>
      <c r="H2236" t="s">
        <v>12</v>
      </c>
      <c r="I2236" t="s">
        <v>3</v>
      </c>
      <c r="J2236">
        <v>4</v>
      </c>
      <c r="K2236" t="s">
        <v>4</v>
      </c>
      <c r="L2236" t="s">
        <v>59</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5">
      <c r="A2237" t="s">
        <v>2323</v>
      </c>
      <c r="B2237" t="s">
        <v>108</v>
      </c>
      <c r="C2237">
        <v>2</v>
      </c>
      <c r="D2237">
        <v>20.3</v>
      </c>
      <c r="E2237">
        <v>40.6</v>
      </c>
      <c r="F2237" s="1">
        <v>45740</v>
      </c>
      <c r="G2237" s="1">
        <v>45742</v>
      </c>
      <c r="H2237" t="s">
        <v>2</v>
      </c>
      <c r="I2237" t="s">
        <v>20</v>
      </c>
      <c r="J2237">
        <v>4</v>
      </c>
      <c r="K2237" t="s">
        <v>4</v>
      </c>
      <c r="L2237" t="s">
        <v>62</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5">
      <c r="A2238" t="s">
        <v>2324</v>
      </c>
      <c r="B2238" t="s">
        <v>11</v>
      </c>
      <c r="C2238">
        <v>3</v>
      </c>
      <c r="D2238">
        <v>94.4</v>
      </c>
      <c r="E2238">
        <v>283.20000000000005</v>
      </c>
      <c r="F2238" s="1">
        <v>45740</v>
      </c>
      <c r="G2238" s="1">
        <v>45741</v>
      </c>
      <c r="H2238" t="s">
        <v>12</v>
      </c>
      <c r="I2238" t="s">
        <v>3</v>
      </c>
      <c r="J2238">
        <v>5</v>
      </c>
      <c r="K2238" t="s">
        <v>4</v>
      </c>
      <c r="L2238" t="s">
        <v>62</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5">
      <c r="A2239" t="s">
        <v>2325</v>
      </c>
      <c r="B2239" t="s">
        <v>31</v>
      </c>
      <c r="C2239">
        <v>1</v>
      </c>
      <c r="D2239">
        <v>49</v>
      </c>
      <c r="E2239">
        <v>49</v>
      </c>
      <c r="F2239" s="1">
        <v>45740</v>
      </c>
      <c r="G2239" s="1">
        <v>45742</v>
      </c>
      <c r="H2239" t="s">
        <v>12</v>
      </c>
      <c r="I2239" t="s">
        <v>3</v>
      </c>
      <c r="J2239">
        <v>5</v>
      </c>
      <c r="K2239" t="s">
        <v>4</v>
      </c>
      <c r="L2239" t="s">
        <v>98</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5">
      <c r="A2240" t="s">
        <v>2326</v>
      </c>
      <c r="B2240" t="s">
        <v>17</v>
      </c>
      <c r="C2240">
        <v>2</v>
      </c>
      <c r="D2240">
        <v>27.2</v>
      </c>
      <c r="E2240">
        <v>54.4</v>
      </c>
      <c r="F2240" s="1">
        <v>45740</v>
      </c>
      <c r="G2240" s="1">
        <v>45742</v>
      </c>
      <c r="H2240" t="s">
        <v>8</v>
      </c>
      <c r="I2240" t="s">
        <v>3</v>
      </c>
      <c r="J2240">
        <v>5</v>
      </c>
      <c r="K2240" t="s">
        <v>4</v>
      </c>
      <c r="L2240" t="s">
        <v>9</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5">
      <c r="A2241" t="s">
        <v>2327</v>
      </c>
      <c r="B2241" t="s">
        <v>11</v>
      </c>
      <c r="C2241">
        <v>6</v>
      </c>
      <c r="D2241">
        <v>72.599999999999994</v>
      </c>
      <c r="E2241">
        <v>435.59999999999997</v>
      </c>
      <c r="F2241" s="1">
        <v>45740</v>
      </c>
      <c r="G2241" s="1">
        <v>45741</v>
      </c>
      <c r="H2241" t="s">
        <v>12</v>
      </c>
      <c r="I2241" t="s">
        <v>3</v>
      </c>
      <c r="J2241">
        <v>5</v>
      </c>
      <c r="K2241" t="s">
        <v>4</v>
      </c>
      <c r="L2241" t="s">
        <v>13</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5">
      <c r="A2242" t="s">
        <v>2328</v>
      </c>
      <c r="B2242" t="s">
        <v>108</v>
      </c>
      <c r="C2242">
        <v>4</v>
      </c>
      <c r="D2242">
        <v>62.4</v>
      </c>
      <c r="E2242">
        <v>249.6</v>
      </c>
      <c r="F2242" s="1">
        <v>45740</v>
      </c>
      <c r="G2242" s="1">
        <v>45741</v>
      </c>
      <c r="H2242" t="s">
        <v>12</v>
      </c>
      <c r="I2242" t="s">
        <v>3</v>
      </c>
      <c r="J2242">
        <v>4</v>
      </c>
      <c r="K2242" t="s">
        <v>4</v>
      </c>
      <c r="L2242" t="s">
        <v>18</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5">
      <c r="A2243" t="s">
        <v>2329</v>
      </c>
      <c r="B2243" t="s">
        <v>29</v>
      </c>
      <c r="C2243">
        <v>3</v>
      </c>
      <c r="D2243">
        <v>19.100000000000001</v>
      </c>
      <c r="E2243">
        <v>57.300000000000004</v>
      </c>
      <c r="F2243" s="1">
        <v>45740</v>
      </c>
      <c r="G2243" s="1">
        <v>45742</v>
      </c>
      <c r="H2243" t="s">
        <v>8</v>
      </c>
      <c r="I2243" t="s">
        <v>3</v>
      </c>
      <c r="J2243">
        <v>3</v>
      </c>
      <c r="K2243" t="s">
        <v>4</v>
      </c>
      <c r="L2243" t="s">
        <v>18</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5">
      <c r="A2244" t="s">
        <v>2330</v>
      </c>
      <c r="B2244" t="s">
        <v>39</v>
      </c>
      <c r="C2244">
        <v>1</v>
      </c>
      <c r="D2244">
        <v>29.6</v>
      </c>
      <c r="E2244">
        <v>29.6</v>
      </c>
      <c r="F2244" s="1">
        <v>45740</v>
      </c>
      <c r="G2244" s="1">
        <v>45744</v>
      </c>
      <c r="H2244" t="s">
        <v>8</v>
      </c>
      <c r="I2244" t="s">
        <v>3</v>
      </c>
      <c r="J2244">
        <v>2</v>
      </c>
      <c r="K2244" t="s">
        <v>4</v>
      </c>
      <c r="L2244" t="s">
        <v>18</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5">
      <c r="A2245" t="s">
        <v>2331</v>
      </c>
      <c r="B2245" t="s">
        <v>29</v>
      </c>
      <c r="C2245">
        <v>2</v>
      </c>
      <c r="D2245">
        <v>18.899999999999999</v>
      </c>
      <c r="E2245">
        <v>37.799999999999997</v>
      </c>
      <c r="F2245" s="1">
        <v>45740</v>
      </c>
      <c r="G2245" s="1">
        <v>45742</v>
      </c>
      <c r="H2245" t="s">
        <v>12</v>
      </c>
      <c r="I2245" t="s">
        <v>55</v>
      </c>
      <c r="J2245">
        <v>5</v>
      </c>
      <c r="K2245" t="s">
        <v>4</v>
      </c>
      <c r="L2245" t="s">
        <v>18</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5">
      <c r="A2246" t="s">
        <v>2332</v>
      </c>
      <c r="B2246" t="s">
        <v>39</v>
      </c>
      <c r="C2246">
        <v>5</v>
      </c>
      <c r="D2246">
        <v>41.4</v>
      </c>
      <c r="E2246">
        <v>207</v>
      </c>
      <c r="F2246" s="1">
        <v>45740</v>
      </c>
      <c r="G2246" s="1">
        <v>45741</v>
      </c>
      <c r="H2246" t="s">
        <v>8</v>
      </c>
      <c r="I2246" t="s">
        <v>36</v>
      </c>
      <c r="J2246">
        <v>4</v>
      </c>
      <c r="K2246" t="s">
        <v>4</v>
      </c>
      <c r="L2246" t="s">
        <v>18</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5">
      <c r="A2247" t="s">
        <v>2333</v>
      </c>
      <c r="B2247" t="s">
        <v>11</v>
      </c>
      <c r="C2247">
        <v>1</v>
      </c>
      <c r="D2247">
        <v>118.4</v>
      </c>
      <c r="E2247">
        <v>118.4</v>
      </c>
      <c r="F2247" s="1">
        <v>45740</v>
      </c>
      <c r="G2247" s="1">
        <v>45741</v>
      </c>
      <c r="H2247" t="s">
        <v>12</v>
      </c>
      <c r="I2247" t="s">
        <v>3</v>
      </c>
      <c r="J2247">
        <v>5</v>
      </c>
      <c r="K2247" t="s">
        <v>4</v>
      </c>
      <c r="L2247" t="s">
        <v>18</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5">
      <c r="A2248" t="s">
        <v>2334</v>
      </c>
      <c r="B2248" t="s">
        <v>11</v>
      </c>
      <c r="C2248">
        <v>2</v>
      </c>
      <c r="D2248">
        <v>125.3</v>
      </c>
      <c r="E2248">
        <v>250.6</v>
      </c>
      <c r="F2248" s="1">
        <v>45740</v>
      </c>
      <c r="G2248" s="1">
        <v>45743</v>
      </c>
      <c r="H2248" t="s">
        <v>12</v>
      </c>
      <c r="I2248" t="s">
        <v>3</v>
      </c>
      <c r="J2248">
        <v>5</v>
      </c>
      <c r="K2248" t="s">
        <v>4</v>
      </c>
      <c r="L2248" t="s">
        <v>18</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5">
      <c r="A2249" t="s">
        <v>2335</v>
      </c>
      <c r="B2249" t="s">
        <v>15</v>
      </c>
      <c r="C2249">
        <v>2</v>
      </c>
      <c r="D2249">
        <v>85.8</v>
      </c>
      <c r="E2249">
        <v>171.6</v>
      </c>
      <c r="F2249" s="1">
        <v>45740</v>
      </c>
      <c r="G2249" s="1">
        <v>45741</v>
      </c>
      <c r="H2249" t="s">
        <v>12</v>
      </c>
      <c r="I2249" t="s">
        <v>20</v>
      </c>
      <c r="J2249">
        <v>2</v>
      </c>
      <c r="K2249" t="s">
        <v>4</v>
      </c>
      <c r="L2249" t="s">
        <v>18</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5">
      <c r="A2250" t="s">
        <v>2336</v>
      </c>
      <c r="B2250" t="s">
        <v>24</v>
      </c>
      <c r="C2250">
        <v>1</v>
      </c>
      <c r="D2250">
        <v>44.2</v>
      </c>
      <c r="E2250">
        <v>44.2</v>
      </c>
      <c r="F2250" s="1">
        <v>45740</v>
      </c>
      <c r="G2250" s="1">
        <v>45743</v>
      </c>
      <c r="H2250" t="s">
        <v>8</v>
      </c>
      <c r="I2250" t="s">
        <v>20</v>
      </c>
      <c r="J2250">
        <v>4</v>
      </c>
      <c r="K2250" t="s">
        <v>4</v>
      </c>
      <c r="L2250" t="s">
        <v>18</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5">
      <c r="A2251" t="s">
        <v>2337</v>
      </c>
      <c r="B2251" t="s">
        <v>22</v>
      </c>
      <c r="C2251">
        <v>4</v>
      </c>
      <c r="D2251">
        <v>74.099999999999994</v>
      </c>
      <c r="E2251">
        <v>296.39999999999998</v>
      </c>
      <c r="F2251" s="1">
        <v>45740</v>
      </c>
      <c r="G2251" s="1">
        <v>45742</v>
      </c>
      <c r="H2251" t="s">
        <v>12</v>
      </c>
      <c r="I2251" t="s">
        <v>3</v>
      </c>
      <c r="J2251">
        <v>4</v>
      </c>
      <c r="K2251" t="s">
        <v>4</v>
      </c>
      <c r="L2251" t="s">
        <v>18</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5">
      <c r="A2252" t="s">
        <v>2338</v>
      </c>
      <c r="B2252" t="s">
        <v>29</v>
      </c>
      <c r="C2252">
        <v>1</v>
      </c>
      <c r="D2252">
        <v>33.799999999999997</v>
      </c>
      <c r="E2252">
        <v>33.799999999999997</v>
      </c>
      <c r="F2252" s="1">
        <v>45740</v>
      </c>
      <c r="G2252" s="1">
        <v>45741</v>
      </c>
      <c r="H2252" t="s">
        <v>12</v>
      </c>
      <c r="I2252" t="s">
        <v>25</v>
      </c>
      <c r="J2252">
        <v>5</v>
      </c>
      <c r="K2252" t="s">
        <v>4</v>
      </c>
      <c r="L2252" t="s">
        <v>171</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5">
      <c r="A2253" t="s">
        <v>2339</v>
      </c>
      <c r="B2253" t="s">
        <v>7</v>
      </c>
      <c r="C2253">
        <v>2</v>
      </c>
      <c r="D2253">
        <v>39.1</v>
      </c>
      <c r="E2253">
        <v>78.2</v>
      </c>
      <c r="F2253" s="1">
        <v>45740</v>
      </c>
      <c r="G2253" s="1">
        <v>45741</v>
      </c>
      <c r="H2253" t="s">
        <v>8</v>
      </c>
      <c r="I2253" t="s">
        <v>3</v>
      </c>
      <c r="J2253">
        <v>3</v>
      </c>
      <c r="K2253" t="s">
        <v>4</v>
      </c>
      <c r="L2253" t="s">
        <v>171</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5">
      <c r="A2254" t="s">
        <v>2340</v>
      </c>
      <c r="B2254" t="s">
        <v>1</v>
      </c>
      <c r="C2254">
        <v>1</v>
      </c>
      <c r="D2254">
        <v>37.200000000000003</v>
      </c>
      <c r="E2254">
        <v>37.200000000000003</v>
      </c>
      <c r="F2254" s="1">
        <v>45740</v>
      </c>
      <c r="G2254" s="1">
        <v>45741</v>
      </c>
      <c r="H2254" t="s">
        <v>8</v>
      </c>
      <c r="I2254" t="s">
        <v>3</v>
      </c>
      <c r="J2254">
        <v>3</v>
      </c>
      <c r="K2254" t="s">
        <v>4</v>
      </c>
      <c r="L2254" t="s">
        <v>83</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5">
      <c r="A2255" t="s">
        <v>2341</v>
      </c>
      <c r="B2255" t="s">
        <v>108</v>
      </c>
      <c r="C2255">
        <v>3</v>
      </c>
      <c r="D2255">
        <v>33.9</v>
      </c>
      <c r="E2255">
        <v>101.69999999999999</v>
      </c>
      <c r="F2255" s="1">
        <v>45740</v>
      </c>
      <c r="G2255" s="1">
        <v>45742</v>
      </c>
      <c r="H2255" t="s">
        <v>8</v>
      </c>
      <c r="I2255" t="s">
        <v>25</v>
      </c>
      <c r="J2255">
        <v>4</v>
      </c>
      <c r="K2255" t="s">
        <v>4</v>
      </c>
      <c r="L2255" t="s">
        <v>40</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5">
      <c r="A2256" t="s">
        <v>2342</v>
      </c>
      <c r="B2256" t="s">
        <v>27</v>
      </c>
      <c r="C2256">
        <v>15</v>
      </c>
      <c r="D2256">
        <v>73.3</v>
      </c>
      <c r="E2256">
        <v>1099.5</v>
      </c>
      <c r="F2256" s="1">
        <v>45740</v>
      </c>
      <c r="G2256" s="1">
        <v>45743</v>
      </c>
      <c r="H2256" t="s">
        <v>12</v>
      </c>
      <c r="I2256" t="s">
        <v>25</v>
      </c>
      <c r="J2256">
        <v>3</v>
      </c>
      <c r="K2256" t="s">
        <v>4</v>
      </c>
      <c r="L2256" t="s">
        <v>47</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5">
      <c r="A2257" t="s">
        <v>2343</v>
      </c>
      <c r="B2257" t="s">
        <v>29</v>
      </c>
      <c r="C2257">
        <v>4</v>
      </c>
      <c r="D2257">
        <v>35</v>
      </c>
      <c r="E2257">
        <v>140</v>
      </c>
      <c r="F2257" s="1">
        <v>45740</v>
      </c>
      <c r="G2257" s="1">
        <v>45742</v>
      </c>
      <c r="H2257" t="s">
        <v>12</v>
      </c>
      <c r="I2257" t="s">
        <v>20</v>
      </c>
      <c r="J2257">
        <v>4</v>
      </c>
      <c r="K2257" t="s">
        <v>4</v>
      </c>
      <c r="L2257" t="s">
        <v>47</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5">
      <c r="A2258" t="s">
        <v>2344</v>
      </c>
      <c r="B2258" t="s">
        <v>1</v>
      </c>
      <c r="C2258">
        <v>3</v>
      </c>
      <c r="D2258">
        <v>22.2</v>
      </c>
      <c r="E2258">
        <v>66.599999999999994</v>
      </c>
      <c r="F2258" s="1">
        <v>45740</v>
      </c>
      <c r="G2258" s="1">
        <v>45741</v>
      </c>
      <c r="H2258" t="s">
        <v>8</v>
      </c>
      <c r="I2258" t="s">
        <v>20</v>
      </c>
      <c r="J2258">
        <v>4</v>
      </c>
      <c r="K2258" t="s">
        <v>4</v>
      </c>
      <c r="L2258" t="s">
        <v>88</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5">
      <c r="A2259" t="s">
        <v>2345</v>
      </c>
      <c r="B2259" t="s">
        <v>39</v>
      </c>
      <c r="C2259">
        <v>1</v>
      </c>
      <c r="D2259">
        <v>32.4</v>
      </c>
      <c r="E2259">
        <v>32.4</v>
      </c>
      <c r="F2259" s="1">
        <v>45740</v>
      </c>
      <c r="G2259" s="1">
        <v>45741</v>
      </c>
      <c r="H2259" t="s">
        <v>12</v>
      </c>
      <c r="I2259" t="s">
        <v>3</v>
      </c>
      <c r="J2259">
        <v>4</v>
      </c>
      <c r="K2259" t="s">
        <v>4</v>
      </c>
      <c r="L2259" t="s">
        <v>62</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5">
      <c r="A2260" t="s">
        <v>2346</v>
      </c>
      <c r="B2260" t="s">
        <v>22</v>
      </c>
      <c r="C2260">
        <v>3</v>
      </c>
      <c r="D2260">
        <v>88.4</v>
      </c>
      <c r="E2260">
        <v>265.20000000000005</v>
      </c>
      <c r="F2260" s="1">
        <v>45741</v>
      </c>
      <c r="G2260" s="1">
        <v>45743</v>
      </c>
      <c r="H2260" t="s">
        <v>12</v>
      </c>
      <c r="I2260" t="s">
        <v>20</v>
      </c>
      <c r="J2260">
        <v>3</v>
      </c>
      <c r="K2260" t="s">
        <v>4</v>
      </c>
      <c r="L2260" t="s">
        <v>62</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5">
      <c r="A2261" t="s">
        <v>2347</v>
      </c>
      <c r="B2261" t="s">
        <v>22</v>
      </c>
      <c r="C2261">
        <v>16</v>
      </c>
      <c r="D2261">
        <v>30.5</v>
      </c>
      <c r="E2261">
        <v>488</v>
      </c>
      <c r="F2261" s="1">
        <v>45741</v>
      </c>
      <c r="G2261" s="1">
        <v>45742</v>
      </c>
      <c r="H2261" t="s">
        <v>12</v>
      </c>
      <c r="I2261" t="s">
        <v>25</v>
      </c>
      <c r="J2261">
        <v>4</v>
      </c>
      <c r="K2261" t="s">
        <v>4</v>
      </c>
      <c r="L2261" t="s">
        <v>62</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5">
      <c r="A2262" t="s">
        <v>2348</v>
      </c>
      <c r="B2262" t="s">
        <v>7</v>
      </c>
      <c r="C2262">
        <v>6</v>
      </c>
      <c r="D2262">
        <v>38.1</v>
      </c>
      <c r="E2262">
        <v>228.60000000000002</v>
      </c>
      <c r="F2262" s="1">
        <v>45741</v>
      </c>
      <c r="G2262" s="1">
        <v>45743</v>
      </c>
      <c r="H2262" t="s">
        <v>12</v>
      </c>
      <c r="I2262" t="s">
        <v>3</v>
      </c>
      <c r="J2262">
        <v>3</v>
      </c>
      <c r="K2262" t="s">
        <v>4</v>
      </c>
      <c r="L2262" t="s">
        <v>62</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5">
      <c r="A2263" t="s">
        <v>2349</v>
      </c>
      <c r="B2263" t="s">
        <v>39</v>
      </c>
      <c r="C2263">
        <v>5</v>
      </c>
      <c r="D2263">
        <v>37.6</v>
      </c>
      <c r="E2263">
        <v>188</v>
      </c>
      <c r="F2263" s="1">
        <v>45741</v>
      </c>
      <c r="G2263" s="1">
        <v>45745</v>
      </c>
      <c r="H2263" t="s">
        <v>8</v>
      </c>
      <c r="I2263" t="s">
        <v>3</v>
      </c>
      <c r="J2263">
        <v>4</v>
      </c>
      <c r="K2263" t="s">
        <v>4</v>
      </c>
      <c r="L2263" t="s">
        <v>62</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5">
      <c r="A2264" t="s">
        <v>2350</v>
      </c>
      <c r="B2264" t="s">
        <v>108</v>
      </c>
      <c r="C2264">
        <v>2</v>
      </c>
      <c r="D2264">
        <v>31.4</v>
      </c>
      <c r="E2264">
        <v>62.8</v>
      </c>
      <c r="F2264" s="1">
        <v>45741</v>
      </c>
      <c r="G2264" s="1">
        <v>45742</v>
      </c>
      <c r="H2264" t="s">
        <v>8</v>
      </c>
      <c r="I2264" t="s">
        <v>3</v>
      </c>
      <c r="J2264">
        <v>5</v>
      </c>
      <c r="K2264" t="s">
        <v>4</v>
      </c>
      <c r="L2264" t="s">
        <v>62</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5">
      <c r="A2265" t="s">
        <v>2351</v>
      </c>
      <c r="B2265" t="s">
        <v>24</v>
      </c>
      <c r="C2265">
        <v>2</v>
      </c>
      <c r="D2265">
        <v>61.5</v>
      </c>
      <c r="E2265">
        <v>123</v>
      </c>
      <c r="F2265" s="1">
        <v>45741</v>
      </c>
      <c r="G2265" s="1">
        <v>45742</v>
      </c>
      <c r="H2265" t="s">
        <v>8</v>
      </c>
      <c r="I2265" t="s">
        <v>36</v>
      </c>
      <c r="J2265">
        <v>4</v>
      </c>
      <c r="K2265" t="s">
        <v>4</v>
      </c>
      <c r="L2265" t="s">
        <v>277</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5">
      <c r="A2266" t="s">
        <v>2352</v>
      </c>
      <c r="B2266" t="s">
        <v>24</v>
      </c>
      <c r="C2266">
        <v>1</v>
      </c>
      <c r="D2266">
        <v>72.599999999999994</v>
      </c>
      <c r="E2266">
        <v>72.599999999999994</v>
      </c>
      <c r="F2266" s="1">
        <v>45741</v>
      </c>
      <c r="G2266" s="1">
        <v>45742</v>
      </c>
      <c r="H2266" t="s">
        <v>8</v>
      </c>
      <c r="I2266" t="s">
        <v>3</v>
      </c>
      <c r="J2266">
        <v>3</v>
      </c>
      <c r="K2266" t="s">
        <v>4</v>
      </c>
      <c r="L2266" t="s">
        <v>100</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5">
      <c r="A2267" t="s">
        <v>2353</v>
      </c>
      <c r="B2267" t="s">
        <v>31</v>
      </c>
      <c r="C2267">
        <v>3</v>
      </c>
      <c r="D2267">
        <v>26.9</v>
      </c>
      <c r="E2267">
        <v>80.699999999999989</v>
      </c>
      <c r="F2267" s="1">
        <v>45741</v>
      </c>
      <c r="G2267" s="1">
        <v>45746</v>
      </c>
      <c r="H2267" t="s">
        <v>74</v>
      </c>
      <c r="I2267" t="s">
        <v>55</v>
      </c>
      <c r="J2267">
        <v>3</v>
      </c>
      <c r="K2267" t="s">
        <v>4</v>
      </c>
      <c r="L2267" t="s">
        <v>626</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5">
      <c r="A2268" t="s">
        <v>2354</v>
      </c>
      <c r="B2268" t="s">
        <v>120</v>
      </c>
      <c r="C2268">
        <v>12</v>
      </c>
      <c r="D2268">
        <v>29.4</v>
      </c>
      <c r="E2268">
        <v>352.79999999999995</v>
      </c>
      <c r="F2268" s="1">
        <v>45741</v>
      </c>
      <c r="G2268" s="1">
        <v>45742</v>
      </c>
      <c r="H2268" t="s">
        <v>12</v>
      </c>
      <c r="I2268" t="s">
        <v>20</v>
      </c>
      <c r="J2268">
        <v>4</v>
      </c>
      <c r="K2268" t="s">
        <v>4</v>
      </c>
      <c r="L2268" t="s">
        <v>952</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5">
      <c r="A2269" t="s">
        <v>2355</v>
      </c>
      <c r="B2269" t="s">
        <v>120</v>
      </c>
      <c r="C2269">
        <v>2</v>
      </c>
      <c r="D2269">
        <v>42.1</v>
      </c>
      <c r="E2269">
        <v>84.2</v>
      </c>
      <c r="F2269" s="1">
        <v>45741</v>
      </c>
      <c r="G2269" s="1">
        <v>45742</v>
      </c>
      <c r="H2269" t="s">
        <v>12</v>
      </c>
      <c r="I2269" t="s">
        <v>36</v>
      </c>
      <c r="J2269">
        <v>3</v>
      </c>
      <c r="K2269" t="s">
        <v>4</v>
      </c>
      <c r="L2269" t="s">
        <v>9</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5">
      <c r="A2270" t="s">
        <v>2356</v>
      </c>
      <c r="B2270" t="s">
        <v>22</v>
      </c>
      <c r="C2270">
        <v>1</v>
      </c>
      <c r="D2270">
        <v>40.5</v>
      </c>
      <c r="E2270">
        <v>40.5</v>
      </c>
      <c r="F2270" s="1">
        <v>45741</v>
      </c>
      <c r="G2270" s="1">
        <v>45742</v>
      </c>
      <c r="H2270" t="s">
        <v>12</v>
      </c>
      <c r="I2270" t="s">
        <v>25</v>
      </c>
      <c r="J2270">
        <v>3</v>
      </c>
      <c r="K2270" t="s">
        <v>4</v>
      </c>
      <c r="L2270" t="s">
        <v>9</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5">
      <c r="A2271" t="s">
        <v>2357</v>
      </c>
      <c r="B2271" t="s">
        <v>11</v>
      </c>
      <c r="C2271">
        <v>4</v>
      </c>
      <c r="D2271">
        <v>182.3</v>
      </c>
      <c r="E2271">
        <v>729.2</v>
      </c>
      <c r="F2271" s="1">
        <v>45741</v>
      </c>
      <c r="G2271" s="1">
        <v>45742</v>
      </c>
      <c r="H2271" t="s">
        <v>12</v>
      </c>
      <c r="I2271" t="s">
        <v>20</v>
      </c>
      <c r="J2271">
        <v>4</v>
      </c>
      <c r="K2271" t="s">
        <v>4</v>
      </c>
      <c r="L2271" t="s">
        <v>9</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5">
      <c r="A2272" t="s">
        <v>2358</v>
      </c>
      <c r="B2272" t="s">
        <v>11</v>
      </c>
      <c r="C2272">
        <v>5</v>
      </c>
      <c r="D2272">
        <v>157</v>
      </c>
      <c r="E2272">
        <v>785</v>
      </c>
      <c r="F2272" s="1">
        <v>45741</v>
      </c>
      <c r="G2272" s="1">
        <v>45744</v>
      </c>
      <c r="H2272" t="s">
        <v>12</v>
      </c>
      <c r="I2272" t="s">
        <v>20</v>
      </c>
      <c r="J2272">
        <v>5</v>
      </c>
      <c r="K2272" t="s">
        <v>4</v>
      </c>
      <c r="L2272" t="s">
        <v>13</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5">
      <c r="A2273" t="s">
        <v>2359</v>
      </c>
      <c r="B2273" t="s">
        <v>120</v>
      </c>
      <c r="C2273">
        <v>5</v>
      </c>
      <c r="D2273">
        <v>45.2</v>
      </c>
      <c r="E2273">
        <v>226</v>
      </c>
      <c r="F2273" s="1">
        <v>45741</v>
      </c>
      <c r="G2273" s="1">
        <v>45744</v>
      </c>
      <c r="H2273" t="s">
        <v>12</v>
      </c>
      <c r="I2273" t="s">
        <v>20</v>
      </c>
      <c r="J2273">
        <v>4</v>
      </c>
      <c r="K2273" t="s">
        <v>4</v>
      </c>
      <c r="L2273" t="s">
        <v>132</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5">
      <c r="A2274" t="s">
        <v>2360</v>
      </c>
      <c r="B2274" t="s">
        <v>108</v>
      </c>
      <c r="C2274">
        <v>4</v>
      </c>
      <c r="D2274">
        <v>27.4</v>
      </c>
      <c r="E2274">
        <v>109.6</v>
      </c>
      <c r="F2274" s="1">
        <v>45741</v>
      </c>
      <c r="G2274" s="1">
        <v>45743</v>
      </c>
      <c r="H2274" t="s">
        <v>12</v>
      </c>
      <c r="I2274" t="s">
        <v>3</v>
      </c>
      <c r="J2274">
        <v>4</v>
      </c>
      <c r="K2274" t="s">
        <v>4</v>
      </c>
      <c r="L2274" t="s">
        <v>18</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5">
      <c r="A2275" t="s">
        <v>2361</v>
      </c>
      <c r="B2275" t="s">
        <v>22</v>
      </c>
      <c r="C2275">
        <v>5</v>
      </c>
      <c r="D2275">
        <v>34.1</v>
      </c>
      <c r="E2275">
        <v>170.5</v>
      </c>
      <c r="F2275" s="1">
        <v>45741</v>
      </c>
      <c r="G2275" s="1">
        <v>45743</v>
      </c>
      <c r="H2275" t="s">
        <v>8</v>
      </c>
      <c r="I2275" t="s">
        <v>3</v>
      </c>
      <c r="J2275">
        <v>5</v>
      </c>
      <c r="K2275" t="s">
        <v>4</v>
      </c>
      <c r="L2275" t="s">
        <v>18</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5">
      <c r="A2276" t="s">
        <v>2362</v>
      </c>
      <c r="B2276" t="s">
        <v>1</v>
      </c>
      <c r="C2276">
        <v>2</v>
      </c>
      <c r="D2276">
        <v>26</v>
      </c>
      <c r="E2276">
        <v>52</v>
      </c>
      <c r="F2276" s="1">
        <v>45741</v>
      </c>
      <c r="G2276" s="1">
        <v>45743</v>
      </c>
      <c r="H2276" t="s">
        <v>8</v>
      </c>
      <c r="I2276" t="s">
        <v>25</v>
      </c>
      <c r="J2276">
        <v>3</v>
      </c>
      <c r="K2276" t="s">
        <v>4</v>
      </c>
      <c r="L2276" t="s">
        <v>18</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5">
      <c r="A2277" t="s">
        <v>2363</v>
      </c>
      <c r="B2277" t="s">
        <v>29</v>
      </c>
      <c r="C2277">
        <v>7</v>
      </c>
      <c r="D2277">
        <v>19.399999999999999</v>
      </c>
      <c r="E2277">
        <v>135.79999999999998</v>
      </c>
      <c r="F2277" s="1">
        <v>45741</v>
      </c>
      <c r="G2277" s="1">
        <v>45743</v>
      </c>
      <c r="H2277" t="s">
        <v>2</v>
      </c>
      <c r="I2277" t="s">
        <v>20</v>
      </c>
      <c r="J2277">
        <v>3</v>
      </c>
      <c r="K2277" t="s">
        <v>4</v>
      </c>
      <c r="L2277" t="s">
        <v>18</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5">
      <c r="A2278" t="s">
        <v>2364</v>
      </c>
      <c r="B2278" t="s">
        <v>113</v>
      </c>
      <c r="C2278">
        <v>3</v>
      </c>
      <c r="D2278">
        <v>30.3</v>
      </c>
      <c r="E2278">
        <v>90.9</v>
      </c>
      <c r="F2278" s="1">
        <v>45741</v>
      </c>
      <c r="G2278" s="1">
        <v>45744</v>
      </c>
      <c r="H2278" t="s">
        <v>12</v>
      </c>
      <c r="I2278" t="s">
        <v>20</v>
      </c>
      <c r="J2278">
        <v>5</v>
      </c>
      <c r="K2278" t="s">
        <v>4</v>
      </c>
      <c r="L2278" t="s">
        <v>18</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5">
      <c r="A2279" t="s">
        <v>2365</v>
      </c>
      <c r="B2279" t="s">
        <v>11</v>
      </c>
      <c r="C2279">
        <v>3</v>
      </c>
      <c r="D2279">
        <v>101.4</v>
      </c>
      <c r="E2279">
        <v>304.20000000000005</v>
      </c>
      <c r="F2279" s="1">
        <v>45741</v>
      </c>
      <c r="G2279" s="1">
        <v>45742</v>
      </c>
      <c r="H2279" t="s">
        <v>8</v>
      </c>
      <c r="I2279" t="s">
        <v>3</v>
      </c>
      <c r="J2279">
        <v>4</v>
      </c>
      <c r="K2279" t="s">
        <v>4</v>
      </c>
      <c r="L2279" t="s">
        <v>18</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5">
      <c r="A2280" t="s">
        <v>2366</v>
      </c>
      <c r="B2280" t="s">
        <v>15</v>
      </c>
      <c r="C2280">
        <v>5</v>
      </c>
      <c r="D2280">
        <v>55.5</v>
      </c>
      <c r="E2280">
        <v>277.5</v>
      </c>
      <c r="F2280" s="1">
        <v>45741</v>
      </c>
      <c r="G2280" s="1">
        <v>45744</v>
      </c>
      <c r="H2280" t="s">
        <v>8</v>
      </c>
      <c r="I2280" t="s">
        <v>20</v>
      </c>
      <c r="J2280">
        <v>4</v>
      </c>
      <c r="K2280" t="s">
        <v>4</v>
      </c>
      <c r="L2280" t="s">
        <v>171</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5">
      <c r="A2281" t="s">
        <v>2367</v>
      </c>
      <c r="B2281" t="s">
        <v>29</v>
      </c>
      <c r="C2281">
        <v>1</v>
      </c>
      <c r="D2281">
        <v>23.1</v>
      </c>
      <c r="E2281">
        <v>23.1</v>
      </c>
      <c r="F2281" s="1">
        <v>45741</v>
      </c>
      <c r="G2281" s="1">
        <v>45742</v>
      </c>
      <c r="H2281" t="s">
        <v>8</v>
      </c>
      <c r="I2281" t="s">
        <v>3</v>
      </c>
      <c r="J2281">
        <v>4</v>
      </c>
      <c r="K2281" t="s">
        <v>4</v>
      </c>
      <c r="L2281" t="s">
        <v>173</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5">
      <c r="A2282" t="s">
        <v>2368</v>
      </c>
      <c r="B2282" t="s">
        <v>131</v>
      </c>
      <c r="C2282">
        <v>2</v>
      </c>
      <c r="D2282">
        <v>38.9</v>
      </c>
      <c r="E2282">
        <v>77.8</v>
      </c>
      <c r="F2282" s="1">
        <v>45741</v>
      </c>
      <c r="G2282" s="1">
        <v>45742</v>
      </c>
      <c r="H2282" t="s">
        <v>8</v>
      </c>
      <c r="I2282" t="s">
        <v>25</v>
      </c>
      <c r="J2282">
        <v>4</v>
      </c>
      <c r="K2282" t="s">
        <v>4</v>
      </c>
      <c r="L2282" t="s">
        <v>173</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5">
      <c r="A2283" t="s">
        <v>2369</v>
      </c>
      <c r="B2283" t="s">
        <v>24</v>
      </c>
      <c r="C2283">
        <v>9</v>
      </c>
      <c r="D2283">
        <v>116.3</v>
      </c>
      <c r="E2283">
        <v>1046.7</v>
      </c>
      <c r="F2283" s="1">
        <v>45741</v>
      </c>
      <c r="G2283" s="1">
        <v>45745</v>
      </c>
      <c r="H2283" t="s">
        <v>12</v>
      </c>
      <c r="I2283" t="s">
        <v>3</v>
      </c>
      <c r="J2283">
        <v>4</v>
      </c>
      <c r="K2283" t="s">
        <v>4</v>
      </c>
      <c r="L2283" t="s">
        <v>37</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5">
      <c r="A2284" t="s">
        <v>2370</v>
      </c>
      <c r="B2284" t="s">
        <v>113</v>
      </c>
      <c r="C2284">
        <v>9</v>
      </c>
      <c r="D2284">
        <v>64.099999999999994</v>
      </c>
      <c r="E2284">
        <v>576.9</v>
      </c>
      <c r="F2284" s="1">
        <v>45741</v>
      </c>
      <c r="G2284" s="1">
        <v>45741</v>
      </c>
      <c r="H2284" t="s">
        <v>12</v>
      </c>
      <c r="I2284" t="s">
        <v>3</v>
      </c>
      <c r="J2284">
        <v>5</v>
      </c>
      <c r="K2284" t="s">
        <v>4</v>
      </c>
      <c r="L2284" t="s">
        <v>40</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5">
      <c r="A2285" t="s">
        <v>2371</v>
      </c>
      <c r="B2285" t="s">
        <v>11</v>
      </c>
      <c r="C2285">
        <v>6</v>
      </c>
      <c r="D2285">
        <v>109.2</v>
      </c>
      <c r="E2285">
        <v>655.20000000000005</v>
      </c>
      <c r="F2285" s="1">
        <v>45741</v>
      </c>
      <c r="G2285" s="1">
        <v>45743</v>
      </c>
      <c r="H2285" t="s">
        <v>8</v>
      </c>
      <c r="I2285" t="s">
        <v>3</v>
      </c>
      <c r="J2285">
        <v>3</v>
      </c>
      <c r="K2285" t="s">
        <v>4</v>
      </c>
      <c r="L2285" t="s">
        <v>47</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5">
      <c r="A2286" t="s">
        <v>2372</v>
      </c>
      <c r="B2286" t="s">
        <v>39</v>
      </c>
      <c r="C2286">
        <v>5</v>
      </c>
      <c r="D2286">
        <v>23.2</v>
      </c>
      <c r="E2286">
        <v>116</v>
      </c>
      <c r="F2286" s="1">
        <v>45742</v>
      </c>
      <c r="G2286" s="1">
        <v>45743</v>
      </c>
      <c r="H2286" t="s">
        <v>8</v>
      </c>
      <c r="I2286" t="s">
        <v>3</v>
      </c>
      <c r="J2286">
        <v>3</v>
      </c>
      <c r="K2286" t="s">
        <v>4</v>
      </c>
      <c r="L2286" t="s">
        <v>47</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5">
      <c r="A2287" t="s">
        <v>2373</v>
      </c>
      <c r="B2287" t="s">
        <v>131</v>
      </c>
      <c r="C2287">
        <v>6</v>
      </c>
      <c r="D2287">
        <v>81.2</v>
      </c>
      <c r="E2287">
        <v>487.20000000000005</v>
      </c>
      <c r="F2287" s="1">
        <v>45742</v>
      </c>
      <c r="G2287" s="1">
        <v>45744</v>
      </c>
      <c r="H2287" t="s">
        <v>8</v>
      </c>
      <c r="I2287" t="s">
        <v>25</v>
      </c>
      <c r="J2287">
        <v>5</v>
      </c>
      <c r="K2287" t="s">
        <v>4</v>
      </c>
      <c r="L2287" t="s">
        <v>47</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5">
      <c r="A2288" t="s">
        <v>2374</v>
      </c>
      <c r="B2288" t="s">
        <v>7</v>
      </c>
      <c r="C2288">
        <v>14</v>
      </c>
      <c r="D2288">
        <v>35.700000000000003</v>
      </c>
      <c r="E2288">
        <v>499.80000000000007</v>
      </c>
      <c r="F2288" s="1">
        <v>45742</v>
      </c>
      <c r="G2288" s="1">
        <v>45743</v>
      </c>
      <c r="H2288" t="s">
        <v>8</v>
      </c>
      <c r="I2288" t="s">
        <v>36</v>
      </c>
      <c r="J2288">
        <v>4</v>
      </c>
      <c r="K2288" t="s">
        <v>4</v>
      </c>
      <c r="L2288" t="s">
        <v>47</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5">
      <c r="A2289" t="s">
        <v>2375</v>
      </c>
      <c r="B2289" t="s">
        <v>27</v>
      </c>
      <c r="C2289">
        <v>2</v>
      </c>
      <c r="D2289">
        <v>44.5</v>
      </c>
      <c r="E2289">
        <v>89</v>
      </c>
      <c r="F2289" s="1">
        <v>45742</v>
      </c>
      <c r="G2289" s="1">
        <v>45745</v>
      </c>
      <c r="H2289" t="s">
        <v>8</v>
      </c>
      <c r="I2289" t="s">
        <v>55</v>
      </c>
      <c r="J2289">
        <v>4</v>
      </c>
      <c r="K2289" t="s">
        <v>4</v>
      </c>
      <c r="L2289" t="s">
        <v>57</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5">
      <c r="A2290" t="s">
        <v>2376</v>
      </c>
      <c r="B2290" t="s">
        <v>7</v>
      </c>
      <c r="C2290">
        <v>5</v>
      </c>
      <c r="D2290">
        <v>32</v>
      </c>
      <c r="E2290">
        <v>160</v>
      </c>
      <c r="F2290" s="1">
        <v>45742</v>
      </c>
      <c r="G2290" s="1">
        <v>45744</v>
      </c>
      <c r="H2290" t="s">
        <v>74</v>
      </c>
      <c r="I2290" t="s">
        <v>20</v>
      </c>
      <c r="J2290">
        <v>3</v>
      </c>
      <c r="K2290" t="s">
        <v>4</v>
      </c>
      <c r="L2290" t="s">
        <v>57</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5">
      <c r="A2291" t="s">
        <v>2377</v>
      </c>
      <c r="B2291" t="s">
        <v>29</v>
      </c>
      <c r="C2291">
        <v>1</v>
      </c>
      <c r="D2291">
        <v>25.7</v>
      </c>
      <c r="E2291">
        <v>25.7</v>
      </c>
      <c r="F2291" s="1">
        <v>45742</v>
      </c>
      <c r="G2291" s="1">
        <v>45743</v>
      </c>
      <c r="H2291" t="s">
        <v>8</v>
      </c>
      <c r="I2291" t="s">
        <v>3</v>
      </c>
      <c r="J2291">
        <v>4</v>
      </c>
      <c r="K2291" t="s">
        <v>4</v>
      </c>
      <c r="L2291" t="s">
        <v>59</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5">
      <c r="A2292" t="s">
        <v>2378</v>
      </c>
      <c r="B2292" t="s">
        <v>113</v>
      </c>
      <c r="C2292">
        <v>3</v>
      </c>
      <c r="D2292">
        <v>65.599999999999994</v>
      </c>
      <c r="E2292">
        <v>196.79999999999998</v>
      </c>
      <c r="F2292" s="1">
        <v>45742</v>
      </c>
      <c r="G2292" s="1">
        <v>45748</v>
      </c>
      <c r="H2292" t="s">
        <v>8</v>
      </c>
      <c r="I2292" t="s">
        <v>3</v>
      </c>
      <c r="J2292">
        <v>4</v>
      </c>
      <c r="K2292" t="s">
        <v>4</v>
      </c>
      <c r="L2292" t="s">
        <v>62</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5">
      <c r="A2293" t="s">
        <v>2379</v>
      </c>
      <c r="B2293" t="s">
        <v>7</v>
      </c>
      <c r="C2293">
        <v>4</v>
      </c>
      <c r="D2293">
        <v>52.1</v>
      </c>
      <c r="E2293">
        <v>208.4</v>
      </c>
      <c r="F2293" s="1">
        <v>45742</v>
      </c>
      <c r="G2293" s="1">
        <v>45743</v>
      </c>
      <c r="H2293" t="s">
        <v>12</v>
      </c>
      <c r="I2293" t="s">
        <v>3</v>
      </c>
      <c r="J2293">
        <v>5</v>
      </c>
      <c r="K2293" t="s">
        <v>4</v>
      </c>
      <c r="L2293" t="s">
        <v>62</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5">
      <c r="A2294" t="s">
        <v>2380</v>
      </c>
      <c r="B2294" t="s">
        <v>29</v>
      </c>
      <c r="C2294">
        <v>1</v>
      </c>
      <c r="D2294">
        <v>31</v>
      </c>
      <c r="E2294">
        <v>31</v>
      </c>
      <c r="F2294" s="1">
        <v>45742</v>
      </c>
      <c r="G2294" s="1">
        <v>45743</v>
      </c>
      <c r="H2294" t="s">
        <v>8</v>
      </c>
      <c r="I2294" t="s">
        <v>3</v>
      </c>
      <c r="J2294">
        <v>3</v>
      </c>
      <c r="K2294" t="s">
        <v>4</v>
      </c>
      <c r="L2294" t="s">
        <v>95</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5">
      <c r="A2295" t="s">
        <v>2381</v>
      </c>
      <c r="B2295" t="s">
        <v>29</v>
      </c>
      <c r="C2295">
        <v>1</v>
      </c>
      <c r="D2295">
        <v>32</v>
      </c>
      <c r="E2295">
        <v>32</v>
      </c>
      <c r="F2295" s="1">
        <v>45742</v>
      </c>
      <c r="G2295" s="1">
        <v>45744</v>
      </c>
      <c r="H2295" t="s">
        <v>74</v>
      </c>
      <c r="I2295" t="s">
        <v>36</v>
      </c>
      <c r="J2295">
        <v>3</v>
      </c>
      <c r="K2295" t="s">
        <v>4</v>
      </c>
      <c r="L2295" t="s">
        <v>277</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5">
      <c r="A2296" t="s">
        <v>2382</v>
      </c>
      <c r="B2296" t="s">
        <v>113</v>
      </c>
      <c r="C2296">
        <v>4</v>
      </c>
      <c r="D2296">
        <v>58.3</v>
      </c>
      <c r="E2296">
        <v>233.2</v>
      </c>
      <c r="F2296" s="1">
        <v>45742</v>
      </c>
      <c r="G2296" s="1">
        <v>45746</v>
      </c>
      <c r="H2296" t="s">
        <v>8</v>
      </c>
      <c r="I2296" t="s">
        <v>20</v>
      </c>
      <c r="J2296">
        <v>2</v>
      </c>
      <c r="K2296" t="s">
        <v>4</v>
      </c>
      <c r="L2296" t="s">
        <v>98</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5">
      <c r="A2297" t="s">
        <v>2383</v>
      </c>
      <c r="B2297" t="s">
        <v>29</v>
      </c>
      <c r="C2297">
        <v>3</v>
      </c>
      <c r="D2297">
        <v>31</v>
      </c>
      <c r="E2297">
        <v>93</v>
      </c>
      <c r="F2297" s="1">
        <v>45742</v>
      </c>
      <c r="G2297" s="1">
        <v>45744</v>
      </c>
      <c r="H2297" t="s">
        <v>12</v>
      </c>
      <c r="I2297" t="s">
        <v>25</v>
      </c>
      <c r="J2297">
        <v>2</v>
      </c>
      <c r="K2297" t="s">
        <v>4</v>
      </c>
      <c r="L2297" t="s">
        <v>67</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5">
      <c r="A2298" t="s">
        <v>2384</v>
      </c>
      <c r="B2298" t="s">
        <v>15</v>
      </c>
      <c r="C2298">
        <v>1</v>
      </c>
      <c r="D2298">
        <v>40.299999999999997</v>
      </c>
      <c r="E2298">
        <v>40.299999999999997</v>
      </c>
      <c r="F2298" s="1">
        <v>45742</v>
      </c>
      <c r="G2298" s="1">
        <v>45743</v>
      </c>
      <c r="H2298" t="s">
        <v>8</v>
      </c>
      <c r="I2298" t="s">
        <v>20</v>
      </c>
      <c r="J2298">
        <v>5</v>
      </c>
      <c r="K2298" t="s">
        <v>4</v>
      </c>
      <c r="L2298" t="s">
        <v>1368</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5">
      <c r="A2299" t="s">
        <v>2385</v>
      </c>
      <c r="B2299" t="s">
        <v>24</v>
      </c>
      <c r="C2299">
        <v>3</v>
      </c>
      <c r="D2299">
        <v>47.3</v>
      </c>
      <c r="E2299">
        <v>141.89999999999998</v>
      </c>
      <c r="F2299" s="1">
        <v>45742</v>
      </c>
      <c r="G2299" s="1">
        <v>45744</v>
      </c>
      <c r="H2299" t="s">
        <v>8</v>
      </c>
      <c r="I2299" t="s">
        <v>55</v>
      </c>
      <c r="J2299">
        <v>5</v>
      </c>
      <c r="K2299" t="s">
        <v>4</v>
      </c>
      <c r="L2299" t="s">
        <v>13</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5">
      <c r="A2300" t="s">
        <v>2386</v>
      </c>
      <c r="B2300" t="s">
        <v>11</v>
      </c>
      <c r="C2300">
        <v>1</v>
      </c>
      <c r="D2300">
        <v>82.8</v>
      </c>
      <c r="E2300">
        <v>82.8</v>
      </c>
      <c r="F2300" s="1">
        <v>45742</v>
      </c>
      <c r="G2300" s="1">
        <v>45743</v>
      </c>
      <c r="H2300" t="s">
        <v>8</v>
      </c>
      <c r="I2300" t="s">
        <v>3</v>
      </c>
      <c r="J2300">
        <v>4</v>
      </c>
      <c r="K2300" t="s">
        <v>4</v>
      </c>
      <c r="L2300" t="s">
        <v>13</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5">
      <c r="A2301" t="s">
        <v>2387</v>
      </c>
      <c r="B2301" t="s">
        <v>29</v>
      </c>
      <c r="C2301">
        <v>1</v>
      </c>
      <c r="D2301">
        <v>18.5</v>
      </c>
      <c r="E2301">
        <v>18.5</v>
      </c>
      <c r="F2301" s="1">
        <v>45742</v>
      </c>
      <c r="G2301" s="1">
        <v>45756</v>
      </c>
      <c r="H2301" t="s">
        <v>12</v>
      </c>
      <c r="I2301" t="s">
        <v>3</v>
      </c>
      <c r="J2301">
        <v>4</v>
      </c>
      <c r="K2301" t="s">
        <v>4</v>
      </c>
      <c r="L2301" t="s">
        <v>572</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5">
      <c r="A2302" t="s">
        <v>2388</v>
      </c>
      <c r="B2302" t="s">
        <v>15</v>
      </c>
      <c r="C2302">
        <v>2</v>
      </c>
      <c r="D2302">
        <v>60.4</v>
      </c>
      <c r="E2302">
        <v>120.8</v>
      </c>
      <c r="F2302" s="1">
        <v>45742</v>
      </c>
      <c r="G2302" s="1">
        <v>45743</v>
      </c>
      <c r="H2302" t="s">
        <v>8</v>
      </c>
      <c r="I2302" t="s">
        <v>25</v>
      </c>
      <c r="J2302">
        <v>4</v>
      </c>
      <c r="K2302" t="s">
        <v>4</v>
      </c>
      <c r="L2302" t="s">
        <v>132</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5">
      <c r="A2303" t="s">
        <v>2389</v>
      </c>
      <c r="B2303" t="s">
        <v>24</v>
      </c>
      <c r="C2303">
        <v>5</v>
      </c>
      <c r="D2303">
        <v>80.2</v>
      </c>
      <c r="E2303">
        <v>401</v>
      </c>
      <c r="F2303" s="1">
        <v>45742</v>
      </c>
      <c r="G2303" s="1">
        <v>45749</v>
      </c>
      <c r="H2303" t="s">
        <v>8</v>
      </c>
      <c r="I2303" t="s">
        <v>20</v>
      </c>
      <c r="J2303">
        <v>3</v>
      </c>
      <c r="K2303" t="s">
        <v>4</v>
      </c>
      <c r="L2303" t="s">
        <v>934</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5">
      <c r="A2304" t="s">
        <v>2390</v>
      </c>
      <c r="B2304" t="s">
        <v>17</v>
      </c>
      <c r="C2304">
        <v>1</v>
      </c>
      <c r="D2304">
        <v>41.5</v>
      </c>
      <c r="E2304">
        <v>41.5</v>
      </c>
      <c r="F2304" s="1">
        <v>45742</v>
      </c>
      <c r="G2304" s="1">
        <v>45744</v>
      </c>
      <c r="H2304" t="s">
        <v>8</v>
      </c>
      <c r="I2304" t="s">
        <v>25</v>
      </c>
      <c r="J2304">
        <v>4</v>
      </c>
      <c r="K2304" t="s">
        <v>4</v>
      </c>
      <c r="L2304" t="s">
        <v>18</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5">
      <c r="A2305" t="s">
        <v>2391</v>
      </c>
      <c r="B2305" t="s">
        <v>11</v>
      </c>
      <c r="C2305">
        <v>2</v>
      </c>
      <c r="D2305">
        <v>83.9</v>
      </c>
      <c r="E2305">
        <v>167.8</v>
      </c>
      <c r="F2305" s="1">
        <v>45742</v>
      </c>
      <c r="G2305" s="1">
        <v>45745</v>
      </c>
      <c r="H2305" t="s">
        <v>12</v>
      </c>
      <c r="I2305" t="s">
        <v>3</v>
      </c>
      <c r="J2305">
        <v>4</v>
      </c>
      <c r="K2305" t="s">
        <v>4</v>
      </c>
      <c r="L2305" t="s">
        <v>18</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5">
      <c r="A2306" t="s">
        <v>2392</v>
      </c>
      <c r="B2306" t="s">
        <v>29</v>
      </c>
      <c r="C2306">
        <v>2</v>
      </c>
      <c r="D2306">
        <v>16.7</v>
      </c>
      <c r="E2306">
        <v>33.4</v>
      </c>
      <c r="F2306" s="1">
        <v>45742</v>
      </c>
      <c r="G2306" s="1">
        <v>45746</v>
      </c>
      <c r="H2306" t="s">
        <v>12</v>
      </c>
      <c r="I2306" t="s">
        <v>3</v>
      </c>
      <c r="J2306">
        <v>3</v>
      </c>
      <c r="K2306" t="s">
        <v>4</v>
      </c>
      <c r="L2306" t="s">
        <v>18</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5">
      <c r="A2307" t="s">
        <v>2393</v>
      </c>
      <c r="B2307" t="s">
        <v>31</v>
      </c>
      <c r="C2307">
        <v>2</v>
      </c>
      <c r="D2307">
        <v>72.900000000000006</v>
      </c>
      <c r="E2307">
        <v>145.80000000000001</v>
      </c>
      <c r="F2307" s="1">
        <v>45742</v>
      </c>
      <c r="G2307" s="1">
        <v>45743</v>
      </c>
      <c r="H2307" t="s">
        <v>8</v>
      </c>
      <c r="I2307" t="s">
        <v>25</v>
      </c>
      <c r="J2307">
        <v>3</v>
      </c>
      <c r="K2307" t="s">
        <v>4</v>
      </c>
      <c r="L2307" t="s">
        <v>18</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5">
      <c r="A2308" t="s">
        <v>2394</v>
      </c>
      <c r="B2308" t="s">
        <v>22</v>
      </c>
      <c r="C2308">
        <v>2</v>
      </c>
      <c r="D2308">
        <v>50.2</v>
      </c>
      <c r="E2308">
        <v>100.4</v>
      </c>
      <c r="F2308" s="1">
        <v>45742</v>
      </c>
      <c r="G2308" s="1">
        <v>45744</v>
      </c>
      <c r="H2308" t="s">
        <v>12</v>
      </c>
      <c r="I2308" t="s">
        <v>20</v>
      </c>
      <c r="J2308">
        <v>5</v>
      </c>
      <c r="K2308" t="s">
        <v>4</v>
      </c>
      <c r="L2308" t="s">
        <v>18</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5">
      <c r="A2309" t="s">
        <v>2395</v>
      </c>
      <c r="B2309" t="s">
        <v>15</v>
      </c>
      <c r="C2309">
        <v>2</v>
      </c>
      <c r="D2309">
        <v>34.200000000000003</v>
      </c>
      <c r="E2309">
        <v>68.400000000000006</v>
      </c>
      <c r="F2309" s="1">
        <v>45742</v>
      </c>
      <c r="G2309" s="1">
        <v>45752</v>
      </c>
      <c r="H2309" t="s">
        <v>2</v>
      </c>
      <c r="I2309" t="s">
        <v>20</v>
      </c>
      <c r="J2309">
        <v>4</v>
      </c>
      <c r="K2309" t="s">
        <v>4</v>
      </c>
      <c r="L2309" t="s">
        <v>18</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5">
      <c r="A2310" t="s">
        <v>2396</v>
      </c>
      <c r="B2310" t="s">
        <v>22</v>
      </c>
      <c r="C2310">
        <v>2</v>
      </c>
      <c r="D2310">
        <v>107.9</v>
      </c>
      <c r="E2310">
        <v>215.8</v>
      </c>
      <c r="F2310" s="1">
        <v>45742</v>
      </c>
      <c r="G2310" s="1">
        <v>45742</v>
      </c>
      <c r="H2310" t="s">
        <v>8</v>
      </c>
      <c r="I2310" t="s">
        <v>20</v>
      </c>
      <c r="J2310">
        <v>2</v>
      </c>
      <c r="K2310" t="s">
        <v>4</v>
      </c>
      <c r="L2310" t="s">
        <v>18</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5">
      <c r="A2311" t="s">
        <v>2397</v>
      </c>
      <c r="B2311" t="s">
        <v>1</v>
      </c>
      <c r="C2311">
        <v>3</v>
      </c>
      <c r="D2311">
        <v>17.5</v>
      </c>
      <c r="E2311">
        <v>52.5</v>
      </c>
      <c r="F2311" s="1">
        <v>45742</v>
      </c>
      <c r="G2311" s="1">
        <v>45744</v>
      </c>
      <c r="H2311" t="s">
        <v>8</v>
      </c>
      <c r="I2311" t="s">
        <v>55</v>
      </c>
      <c r="J2311">
        <v>4</v>
      </c>
      <c r="K2311" t="s">
        <v>4</v>
      </c>
      <c r="L2311" t="s">
        <v>18</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5">
      <c r="A2312" t="s">
        <v>2398</v>
      </c>
      <c r="B2312" t="s">
        <v>61</v>
      </c>
      <c r="C2312">
        <v>15</v>
      </c>
      <c r="D2312">
        <v>44.7</v>
      </c>
      <c r="E2312">
        <v>670.5</v>
      </c>
      <c r="F2312" s="1">
        <v>45742</v>
      </c>
      <c r="G2312" s="1">
        <v>45743</v>
      </c>
      <c r="H2312" t="s">
        <v>8</v>
      </c>
      <c r="I2312" t="s">
        <v>3</v>
      </c>
      <c r="J2312">
        <v>3</v>
      </c>
      <c r="K2312" t="s">
        <v>4</v>
      </c>
      <c r="L2312" t="s">
        <v>18</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5">
      <c r="A2313" t="s">
        <v>2399</v>
      </c>
      <c r="B2313" t="s">
        <v>54</v>
      </c>
      <c r="C2313">
        <v>6</v>
      </c>
      <c r="D2313">
        <v>92.7</v>
      </c>
      <c r="E2313">
        <v>556.20000000000005</v>
      </c>
      <c r="F2313" s="1">
        <v>45742</v>
      </c>
      <c r="G2313" s="1">
        <v>45744</v>
      </c>
      <c r="H2313" t="s">
        <v>12</v>
      </c>
      <c r="I2313" t="s">
        <v>25</v>
      </c>
      <c r="J2313">
        <v>3</v>
      </c>
      <c r="K2313" t="s">
        <v>4</v>
      </c>
      <c r="L2313" t="s">
        <v>18</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5">
      <c r="A2314" t="s">
        <v>2400</v>
      </c>
      <c r="B2314" t="s">
        <v>27</v>
      </c>
      <c r="C2314">
        <v>3</v>
      </c>
      <c r="D2314">
        <v>48.8</v>
      </c>
      <c r="E2314">
        <v>146.39999999999998</v>
      </c>
      <c r="F2314" s="1">
        <v>45742</v>
      </c>
      <c r="G2314" s="1">
        <v>45744</v>
      </c>
      <c r="H2314" t="s">
        <v>12</v>
      </c>
      <c r="I2314" t="s">
        <v>25</v>
      </c>
      <c r="J2314">
        <v>4</v>
      </c>
      <c r="K2314" t="s">
        <v>4</v>
      </c>
      <c r="L2314" t="s">
        <v>18</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5">
      <c r="A2315" t="s">
        <v>2401</v>
      </c>
      <c r="B2315" t="s">
        <v>17</v>
      </c>
      <c r="C2315">
        <v>16</v>
      </c>
      <c r="D2315">
        <v>21.3</v>
      </c>
      <c r="E2315">
        <v>340.8</v>
      </c>
      <c r="F2315" s="1">
        <v>45742</v>
      </c>
      <c r="G2315" s="1">
        <v>45746</v>
      </c>
      <c r="H2315" t="s">
        <v>12</v>
      </c>
      <c r="I2315" t="s">
        <v>36</v>
      </c>
      <c r="J2315">
        <v>1</v>
      </c>
      <c r="K2315" t="s">
        <v>4</v>
      </c>
      <c r="L2315" t="s">
        <v>18</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5">
      <c r="A2316" t="s">
        <v>2402</v>
      </c>
      <c r="B2316" t="s">
        <v>113</v>
      </c>
      <c r="C2316">
        <v>1</v>
      </c>
      <c r="D2316">
        <v>52.5</v>
      </c>
      <c r="E2316">
        <v>52.5</v>
      </c>
      <c r="F2316" s="1">
        <v>45742</v>
      </c>
      <c r="G2316" s="1">
        <v>45743</v>
      </c>
      <c r="H2316" t="s">
        <v>12</v>
      </c>
      <c r="I2316" t="s">
        <v>3</v>
      </c>
      <c r="J2316">
        <v>4</v>
      </c>
      <c r="K2316" t="s">
        <v>4</v>
      </c>
      <c r="L2316" t="s">
        <v>18</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5">
      <c r="A2317" t="s">
        <v>2403</v>
      </c>
      <c r="B2317" t="s">
        <v>7</v>
      </c>
      <c r="C2317">
        <v>2</v>
      </c>
      <c r="D2317">
        <v>92.4</v>
      </c>
      <c r="E2317">
        <v>184.8</v>
      </c>
      <c r="F2317" s="1">
        <v>45742</v>
      </c>
      <c r="G2317" s="1">
        <v>45748</v>
      </c>
      <c r="H2317" t="s">
        <v>12</v>
      </c>
      <c r="I2317" t="s">
        <v>3</v>
      </c>
      <c r="J2317">
        <v>5</v>
      </c>
      <c r="K2317" t="s">
        <v>4</v>
      </c>
      <c r="L2317" t="s">
        <v>18</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5">
      <c r="A2318" t="s">
        <v>2404</v>
      </c>
      <c r="B2318" t="s">
        <v>17</v>
      </c>
      <c r="C2318">
        <v>11</v>
      </c>
      <c r="D2318">
        <v>58.3</v>
      </c>
      <c r="E2318">
        <v>641.29999999999995</v>
      </c>
      <c r="F2318" s="1">
        <v>45742</v>
      </c>
      <c r="G2318" s="1">
        <v>45744</v>
      </c>
      <c r="H2318" t="s">
        <v>8</v>
      </c>
      <c r="I2318" t="s">
        <v>20</v>
      </c>
      <c r="J2318">
        <v>5</v>
      </c>
      <c r="K2318" t="s">
        <v>4</v>
      </c>
      <c r="L2318" t="s">
        <v>18</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5">
      <c r="A2319" t="s">
        <v>2405</v>
      </c>
      <c r="B2319" t="s">
        <v>24</v>
      </c>
      <c r="C2319">
        <v>23</v>
      </c>
      <c r="D2319">
        <v>152.6</v>
      </c>
      <c r="E2319">
        <v>3509.7999999999997</v>
      </c>
      <c r="F2319" s="1">
        <v>45743</v>
      </c>
      <c r="G2319" s="1">
        <v>45745</v>
      </c>
      <c r="H2319" t="s">
        <v>2</v>
      </c>
      <c r="I2319" t="s">
        <v>3</v>
      </c>
      <c r="J2319">
        <v>4</v>
      </c>
      <c r="K2319" t="s">
        <v>4</v>
      </c>
      <c r="L2319" t="s">
        <v>18</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5">
      <c r="A2320" t="s">
        <v>2406</v>
      </c>
      <c r="B2320" t="s">
        <v>29</v>
      </c>
      <c r="C2320">
        <v>2</v>
      </c>
      <c r="D2320">
        <v>26</v>
      </c>
      <c r="E2320">
        <v>52</v>
      </c>
      <c r="F2320" s="1">
        <v>45743</v>
      </c>
      <c r="G2320" s="1">
        <v>45743</v>
      </c>
      <c r="H2320" t="s">
        <v>2</v>
      </c>
      <c r="I2320" t="s">
        <v>3</v>
      </c>
      <c r="J2320">
        <v>3</v>
      </c>
      <c r="K2320" t="s">
        <v>4</v>
      </c>
      <c r="L2320" t="s">
        <v>18</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5">
      <c r="A2321" t="s">
        <v>2407</v>
      </c>
      <c r="B2321" t="s">
        <v>7</v>
      </c>
      <c r="C2321">
        <v>4</v>
      </c>
      <c r="D2321">
        <v>33.1</v>
      </c>
      <c r="E2321">
        <v>132.4</v>
      </c>
      <c r="F2321" s="1">
        <v>45743</v>
      </c>
      <c r="G2321" s="1">
        <v>45743</v>
      </c>
      <c r="H2321" t="s">
        <v>8</v>
      </c>
      <c r="I2321" t="s">
        <v>25</v>
      </c>
      <c r="J2321">
        <v>2</v>
      </c>
      <c r="K2321" t="s">
        <v>4</v>
      </c>
      <c r="L2321" t="s">
        <v>37</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5">
      <c r="A2322" t="s">
        <v>2408</v>
      </c>
      <c r="B2322" t="s">
        <v>131</v>
      </c>
      <c r="C2322">
        <v>1</v>
      </c>
      <c r="D2322">
        <v>51.4</v>
      </c>
      <c r="E2322">
        <v>51.4</v>
      </c>
      <c r="F2322" s="1">
        <v>45743</v>
      </c>
      <c r="G2322" s="1">
        <v>45745</v>
      </c>
      <c r="H2322" t="s">
        <v>12</v>
      </c>
      <c r="I2322" t="s">
        <v>20</v>
      </c>
      <c r="J2322">
        <v>3</v>
      </c>
      <c r="K2322" t="s">
        <v>4</v>
      </c>
      <c r="L2322" t="s">
        <v>37</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5">
      <c r="A2323" t="s">
        <v>2409</v>
      </c>
      <c r="B2323" t="s">
        <v>29</v>
      </c>
      <c r="C2323">
        <v>2</v>
      </c>
      <c r="D2323">
        <v>30.2</v>
      </c>
      <c r="E2323">
        <v>60.4</v>
      </c>
      <c r="F2323" s="1">
        <v>45743</v>
      </c>
      <c r="G2323" s="1">
        <v>45744</v>
      </c>
      <c r="H2323" t="s">
        <v>12</v>
      </c>
      <c r="I2323" t="s">
        <v>25</v>
      </c>
      <c r="J2323">
        <v>5</v>
      </c>
      <c r="K2323" t="s">
        <v>4</v>
      </c>
      <c r="L2323" t="s">
        <v>40</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5">
      <c r="A2324" t="s">
        <v>2410</v>
      </c>
      <c r="B2324" t="s">
        <v>11</v>
      </c>
      <c r="C2324">
        <v>6</v>
      </c>
      <c r="D2324">
        <v>97</v>
      </c>
      <c r="E2324">
        <v>582</v>
      </c>
      <c r="F2324" s="1">
        <v>45743</v>
      </c>
      <c r="G2324" s="1">
        <v>45747</v>
      </c>
      <c r="H2324" t="s">
        <v>12</v>
      </c>
      <c r="I2324" t="s">
        <v>3</v>
      </c>
      <c r="J2324">
        <v>5</v>
      </c>
      <c r="K2324" t="s">
        <v>4</v>
      </c>
      <c r="L2324" t="s">
        <v>44</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5">
      <c r="A2325" t="s">
        <v>2411</v>
      </c>
      <c r="B2325" t="s">
        <v>11</v>
      </c>
      <c r="C2325">
        <v>1</v>
      </c>
      <c r="D2325">
        <v>76.900000000000006</v>
      </c>
      <c r="E2325">
        <v>76.900000000000006</v>
      </c>
      <c r="F2325" s="1">
        <v>45743</v>
      </c>
      <c r="G2325" s="1">
        <v>45744</v>
      </c>
      <c r="H2325" t="s">
        <v>8</v>
      </c>
      <c r="I2325" t="s">
        <v>20</v>
      </c>
      <c r="J2325">
        <v>5</v>
      </c>
      <c r="K2325" t="s">
        <v>4</v>
      </c>
      <c r="L2325" t="s">
        <v>47</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5">
      <c r="A2326" t="s">
        <v>2412</v>
      </c>
      <c r="B2326" t="s">
        <v>27</v>
      </c>
      <c r="C2326">
        <v>6</v>
      </c>
      <c r="D2326">
        <v>36.1</v>
      </c>
      <c r="E2326">
        <v>216.60000000000002</v>
      </c>
      <c r="F2326" s="1">
        <v>45743</v>
      </c>
      <c r="G2326" s="1">
        <v>45747</v>
      </c>
      <c r="H2326" t="s">
        <v>12</v>
      </c>
      <c r="I2326" t="s">
        <v>3</v>
      </c>
      <c r="J2326">
        <v>4</v>
      </c>
      <c r="K2326" t="s">
        <v>4</v>
      </c>
      <c r="L2326" t="s">
        <v>47</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5">
      <c r="A2327" t="s">
        <v>2413</v>
      </c>
      <c r="B2327" t="s">
        <v>7</v>
      </c>
      <c r="C2327">
        <v>7</v>
      </c>
      <c r="D2327">
        <v>34.4</v>
      </c>
      <c r="E2327">
        <v>240.79999999999998</v>
      </c>
      <c r="F2327" s="1">
        <v>45743</v>
      </c>
      <c r="G2327" s="1">
        <v>45743</v>
      </c>
      <c r="H2327" t="s">
        <v>12</v>
      </c>
      <c r="I2327" t="s">
        <v>25</v>
      </c>
      <c r="J2327">
        <v>3</v>
      </c>
      <c r="K2327" t="s">
        <v>4</v>
      </c>
      <c r="L2327" t="s">
        <v>62</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5">
      <c r="A2328" t="s">
        <v>2414</v>
      </c>
      <c r="B2328" t="s">
        <v>7</v>
      </c>
      <c r="C2328">
        <v>28</v>
      </c>
      <c r="D2328">
        <v>53.4</v>
      </c>
      <c r="E2328">
        <v>1495.2</v>
      </c>
      <c r="F2328" s="1">
        <v>45743</v>
      </c>
      <c r="G2328" s="1">
        <v>45745</v>
      </c>
      <c r="H2328" t="s">
        <v>12</v>
      </c>
      <c r="I2328" t="s">
        <v>20</v>
      </c>
      <c r="J2328">
        <v>4</v>
      </c>
      <c r="K2328" t="s">
        <v>4</v>
      </c>
      <c r="L2328" t="s">
        <v>93</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5">
      <c r="A2329" t="s">
        <v>2415</v>
      </c>
      <c r="B2329" t="s">
        <v>11</v>
      </c>
      <c r="C2329">
        <v>1</v>
      </c>
      <c r="D2329">
        <v>77.599999999999994</v>
      </c>
      <c r="E2329">
        <v>77.599999999999994</v>
      </c>
      <c r="F2329" s="1">
        <v>45743</v>
      </c>
      <c r="G2329" s="1">
        <v>45744</v>
      </c>
      <c r="H2329" t="s">
        <v>12</v>
      </c>
      <c r="I2329" t="s">
        <v>3</v>
      </c>
      <c r="J2329">
        <v>3</v>
      </c>
      <c r="K2329" t="s">
        <v>4</v>
      </c>
      <c r="L2329" t="s">
        <v>95</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5">
      <c r="A2330" t="s">
        <v>2416</v>
      </c>
      <c r="B2330" t="s">
        <v>7</v>
      </c>
      <c r="C2330">
        <v>3</v>
      </c>
      <c r="D2330">
        <v>71.7</v>
      </c>
      <c r="E2330">
        <v>215.10000000000002</v>
      </c>
      <c r="F2330" s="1">
        <v>45743</v>
      </c>
      <c r="G2330" s="1">
        <v>45746</v>
      </c>
      <c r="H2330" t="s">
        <v>12</v>
      </c>
      <c r="I2330" t="s">
        <v>20</v>
      </c>
      <c r="J2330">
        <v>4</v>
      </c>
      <c r="K2330" t="s">
        <v>4</v>
      </c>
      <c r="L2330" t="s">
        <v>95</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5">
      <c r="A2331" t="s">
        <v>2417</v>
      </c>
      <c r="B2331" t="s">
        <v>15</v>
      </c>
      <c r="C2331">
        <v>3</v>
      </c>
      <c r="D2331">
        <v>80.599999999999994</v>
      </c>
      <c r="E2331">
        <v>241.79999999999998</v>
      </c>
      <c r="F2331" s="1">
        <v>45743</v>
      </c>
      <c r="G2331" s="1">
        <v>45744</v>
      </c>
      <c r="H2331" t="s">
        <v>8</v>
      </c>
      <c r="I2331" t="s">
        <v>55</v>
      </c>
      <c r="J2331">
        <v>3</v>
      </c>
      <c r="K2331" t="s">
        <v>4</v>
      </c>
      <c r="L2331" t="s">
        <v>95</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5">
      <c r="A2332" t="s">
        <v>2418</v>
      </c>
      <c r="B2332" t="s">
        <v>7</v>
      </c>
      <c r="C2332">
        <v>15</v>
      </c>
      <c r="D2332">
        <v>70</v>
      </c>
      <c r="E2332">
        <v>1050</v>
      </c>
      <c r="F2332" s="1">
        <v>45743</v>
      </c>
      <c r="G2332" s="1">
        <v>45745</v>
      </c>
      <c r="H2332" t="s">
        <v>8</v>
      </c>
      <c r="I2332" t="s">
        <v>3</v>
      </c>
      <c r="J2332">
        <v>4</v>
      </c>
      <c r="K2332" t="s">
        <v>4</v>
      </c>
      <c r="L2332" t="s">
        <v>98</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5">
      <c r="A2333" t="s">
        <v>2419</v>
      </c>
      <c r="B2333" t="s">
        <v>17</v>
      </c>
      <c r="C2333">
        <v>6</v>
      </c>
      <c r="D2333">
        <v>27.3</v>
      </c>
      <c r="E2333">
        <v>163.80000000000001</v>
      </c>
      <c r="F2333" s="1">
        <v>45743</v>
      </c>
      <c r="G2333" s="1">
        <v>45745</v>
      </c>
      <c r="H2333" t="s">
        <v>12</v>
      </c>
      <c r="I2333" t="s">
        <v>20</v>
      </c>
      <c r="J2333">
        <v>3</v>
      </c>
      <c r="K2333" t="s">
        <v>4</v>
      </c>
      <c r="L2333" t="s">
        <v>13</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5">
      <c r="A2334" t="s">
        <v>2420</v>
      </c>
      <c r="B2334" t="s">
        <v>29</v>
      </c>
      <c r="C2334">
        <v>14</v>
      </c>
      <c r="D2334">
        <v>37.6</v>
      </c>
      <c r="E2334">
        <v>526.4</v>
      </c>
      <c r="F2334" s="1">
        <v>45743</v>
      </c>
      <c r="G2334" s="1">
        <v>45745</v>
      </c>
      <c r="H2334" t="s">
        <v>8</v>
      </c>
      <c r="I2334" t="s">
        <v>20</v>
      </c>
      <c r="J2334">
        <v>4</v>
      </c>
      <c r="K2334" t="s">
        <v>4</v>
      </c>
      <c r="L2334" t="s">
        <v>18</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5">
      <c r="A2335" t="s">
        <v>2421</v>
      </c>
      <c r="B2335" t="s">
        <v>22</v>
      </c>
      <c r="C2335">
        <v>3</v>
      </c>
      <c r="D2335">
        <v>36.6</v>
      </c>
      <c r="E2335">
        <v>109.80000000000001</v>
      </c>
      <c r="F2335" s="1">
        <v>45743</v>
      </c>
      <c r="G2335" s="1">
        <v>45745</v>
      </c>
      <c r="H2335" t="s">
        <v>12</v>
      </c>
      <c r="I2335" t="s">
        <v>55</v>
      </c>
      <c r="J2335">
        <v>4</v>
      </c>
      <c r="K2335" t="s">
        <v>4</v>
      </c>
      <c r="L2335" t="s">
        <v>18</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5">
      <c r="A2336" t="s">
        <v>2422</v>
      </c>
      <c r="B2336" t="s">
        <v>61</v>
      </c>
      <c r="C2336">
        <v>1</v>
      </c>
      <c r="D2336">
        <v>55.2</v>
      </c>
      <c r="E2336">
        <v>55.2</v>
      </c>
      <c r="F2336" s="1">
        <v>45743</v>
      </c>
      <c r="G2336" s="1">
        <v>45745</v>
      </c>
      <c r="H2336" t="s">
        <v>8</v>
      </c>
      <c r="I2336" t="s">
        <v>36</v>
      </c>
      <c r="J2336">
        <v>4</v>
      </c>
      <c r="K2336" t="s">
        <v>4</v>
      </c>
      <c r="L2336" t="s">
        <v>18</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5">
      <c r="A2337" t="s">
        <v>2423</v>
      </c>
      <c r="B2337" t="s">
        <v>24</v>
      </c>
      <c r="C2337">
        <v>5</v>
      </c>
      <c r="D2337">
        <v>59.9</v>
      </c>
      <c r="E2337">
        <v>299.5</v>
      </c>
      <c r="F2337" s="1">
        <v>45743</v>
      </c>
      <c r="G2337" s="1">
        <v>45745</v>
      </c>
      <c r="H2337" t="s">
        <v>8</v>
      </c>
      <c r="I2337" t="s">
        <v>3</v>
      </c>
      <c r="J2337">
        <v>4</v>
      </c>
      <c r="K2337" t="s">
        <v>4</v>
      </c>
      <c r="L2337" t="s">
        <v>18</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5">
      <c r="A2338" t="s">
        <v>2424</v>
      </c>
      <c r="B2338" t="s">
        <v>24</v>
      </c>
      <c r="C2338">
        <v>1</v>
      </c>
      <c r="D2338">
        <v>44</v>
      </c>
      <c r="E2338">
        <v>44</v>
      </c>
      <c r="F2338" s="1">
        <v>45743</v>
      </c>
      <c r="G2338" s="1">
        <v>45744</v>
      </c>
      <c r="H2338" t="s">
        <v>12</v>
      </c>
      <c r="I2338" t="s">
        <v>25</v>
      </c>
      <c r="J2338">
        <v>5</v>
      </c>
      <c r="K2338" t="s">
        <v>4</v>
      </c>
      <c r="L2338" t="s">
        <v>18</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5">
      <c r="A2339" t="s">
        <v>2425</v>
      </c>
      <c r="B2339" t="s">
        <v>31</v>
      </c>
      <c r="C2339">
        <v>2</v>
      </c>
      <c r="D2339">
        <v>68.7</v>
      </c>
      <c r="E2339">
        <v>137.4</v>
      </c>
      <c r="F2339" s="1">
        <v>45743</v>
      </c>
      <c r="G2339" s="1">
        <v>45743</v>
      </c>
      <c r="H2339" t="s">
        <v>8</v>
      </c>
      <c r="I2339" t="s">
        <v>3</v>
      </c>
      <c r="J2339">
        <v>4</v>
      </c>
      <c r="K2339" t="s">
        <v>4</v>
      </c>
      <c r="L2339" t="s">
        <v>18</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5">
      <c r="A2340" t="s">
        <v>2426</v>
      </c>
      <c r="B2340" t="s">
        <v>22</v>
      </c>
      <c r="C2340">
        <v>2</v>
      </c>
      <c r="D2340">
        <v>61.6</v>
      </c>
      <c r="E2340">
        <v>123.2</v>
      </c>
      <c r="F2340" s="1">
        <v>45743</v>
      </c>
      <c r="G2340" s="1">
        <v>45747</v>
      </c>
      <c r="H2340" t="s">
        <v>8</v>
      </c>
      <c r="I2340" t="s">
        <v>36</v>
      </c>
      <c r="J2340">
        <v>3</v>
      </c>
      <c r="K2340" t="s">
        <v>4</v>
      </c>
      <c r="L2340" t="s">
        <v>18</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5">
      <c r="A2341" t="s">
        <v>2427</v>
      </c>
      <c r="B2341" t="s">
        <v>27</v>
      </c>
      <c r="C2341">
        <v>7</v>
      </c>
      <c r="D2341">
        <v>51.8</v>
      </c>
      <c r="E2341">
        <v>362.59999999999997</v>
      </c>
      <c r="F2341" s="1">
        <v>45743</v>
      </c>
      <c r="G2341" s="1">
        <v>45744</v>
      </c>
      <c r="H2341" t="s">
        <v>8</v>
      </c>
      <c r="I2341" t="s">
        <v>3</v>
      </c>
      <c r="J2341">
        <v>4</v>
      </c>
      <c r="K2341" t="s">
        <v>4</v>
      </c>
      <c r="L2341" t="s">
        <v>18</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5">
      <c r="A2342" t="s">
        <v>2428</v>
      </c>
      <c r="B2342" t="s">
        <v>29</v>
      </c>
      <c r="C2342">
        <v>10</v>
      </c>
      <c r="D2342">
        <v>46.2</v>
      </c>
      <c r="E2342">
        <v>462</v>
      </c>
      <c r="F2342" s="1">
        <v>45743</v>
      </c>
      <c r="G2342" s="1">
        <v>45745</v>
      </c>
      <c r="H2342" t="s">
        <v>8</v>
      </c>
      <c r="I2342" t="s">
        <v>20</v>
      </c>
      <c r="J2342">
        <v>5</v>
      </c>
      <c r="K2342" t="s">
        <v>4</v>
      </c>
      <c r="L2342" t="s">
        <v>18</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5">
      <c r="A2343" t="s">
        <v>2429</v>
      </c>
      <c r="B2343" t="s">
        <v>1</v>
      </c>
      <c r="C2343">
        <v>2</v>
      </c>
      <c r="D2343">
        <v>19.399999999999999</v>
      </c>
      <c r="E2343">
        <v>38.799999999999997</v>
      </c>
      <c r="F2343" s="1">
        <v>45743</v>
      </c>
      <c r="G2343" s="1">
        <v>45745</v>
      </c>
      <c r="H2343" t="s">
        <v>12</v>
      </c>
      <c r="I2343" t="s">
        <v>20</v>
      </c>
      <c r="J2343">
        <v>5</v>
      </c>
      <c r="K2343" t="s">
        <v>4</v>
      </c>
      <c r="L2343" t="s">
        <v>40</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5">
      <c r="A2344" t="s">
        <v>2430</v>
      </c>
      <c r="B2344" t="s">
        <v>52</v>
      </c>
      <c r="C2344">
        <v>3</v>
      </c>
      <c r="D2344">
        <v>52.1</v>
      </c>
      <c r="E2344">
        <v>156.30000000000001</v>
      </c>
      <c r="F2344" s="1">
        <v>45743</v>
      </c>
      <c r="G2344" s="1">
        <v>45746</v>
      </c>
      <c r="H2344" t="s">
        <v>8</v>
      </c>
      <c r="I2344" t="s">
        <v>36</v>
      </c>
      <c r="J2344">
        <v>1</v>
      </c>
      <c r="K2344" t="s">
        <v>4</v>
      </c>
      <c r="L2344" t="s">
        <v>40</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5">
      <c r="A2345" t="s">
        <v>2431</v>
      </c>
      <c r="B2345" t="s">
        <v>24</v>
      </c>
      <c r="C2345">
        <v>1</v>
      </c>
      <c r="D2345">
        <v>74.900000000000006</v>
      </c>
      <c r="E2345">
        <v>74.900000000000006</v>
      </c>
      <c r="F2345" s="1">
        <v>45743</v>
      </c>
      <c r="G2345" s="1">
        <v>45745</v>
      </c>
      <c r="H2345" t="s">
        <v>74</v>
      </c>
      <c r="I2345" t="s">
        <v>3</v>
      </c>
      <c r="J2345">
        <v>4</v>
      </c>
      <c r="K2345" t="s">
        <v>4</v>
      </c>
      <c r="L2345" t="s">
        <v>44</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5">
      <c r="A2346" t="s">
        <v>2432</v>
      </c>
      <c r="B2346" t="s">
        <v>31</v>
      </c>
      <c r="C2346">
        <v>7</v>
      </c>
      <c r="D2346">
        <v>49.6</v>
      </c>
      <c r="E2346">
        <v>347.2</v>
      </c>
      <c r="F2346" s="1">
        <v>45743</v>
      </c>
      <c r="G2346" s="1">
        <v>45746</v>
      </c>
      <c r="H2346" t="s">
        <v>12</v>
      </c>
      <c r="I2346" t="s">
        <v>55</v>
      </c>
      <c r="J2346">
        <v>4</v>
      </c>
      <c r="K2346" t="s">
        <v>4</v>
      </c>
      <c r="L2346" t="s">
        <v>47</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5">
      <c r="A2347" t="s">
        <v>2433</v>
      </c>
      <c r="B2347" t="s">
        <v>113</v>
      </c>
      <c r="C2347">
        <v>4</v>
      </c>
      <c r="D2347">
        <v>82.8</v>
      </c>
      <c r="E2347">
        <v>331.2</v>
      </c>
      <c r="F2347" s="1">
        <v>45744</v>
      </c>
      <c r="G2347" s="1">
        <v>45747</v>
      </c>
      <c r="H2347" t="s">
        <v>12</v>
      </c>
      <c r="I2347" t="s">
        <v>55</v>
      </c>
      <c r="J2347">
        <v>4</v>
      </c>
      <c r="K2347" t="s">
        <v>4</v>
      </c>
      <c r="L2347" t="s">
        <v>47</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5">
      <c r="A2348" t="s">
        <v>2434</v>
      </c>
      <c r="B2348" t="s">
        <v>11</v>
      </c>
      <c r="C2348">
        <v>1</v>
      </c>
      <c r="D2348">
        <v>97.7</v>
      </c>
      <c r="E2348">
        <v>97.7</v>
      </c>
      <c r="F2348" s="1">
        <v>45744</v>
      </c>
      <c r="G2348" s="1">
        <v>45745</v>
      </c>
      <c r="H2348" t="s">
        <v>12</v>
      </c>
      <c r="I2348" t="s">
        <v>20</v>
      </c>
      <c r="J2348">
        <v>4</v>
      </c>
      <c r="K2348" t="s">
        <v>4</v>
      </c>
      <c r="L2348" t="s">
        <v>47</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5">
      <c r="A2349" t="s">
        <v>2435</v>
      </c>
      <c r="B2349" t="s">
        <v>24</v>
      </c>
      <c r="C2349">
        <v>5</v>
      </c>
      <c r="D2349">
        <v>83.6</v>
      </c>
      <c r="E2349">
        <v>418</v>
      </c>
      <c r="F2349" s="1">
        <v>45744</v>
      </c>
      <c r="G2349" s="1">
        <v>45745</v>
      </c>
      <c r="H2349" t="s">
        <v>12</v>
      </c>
      <c r="I2349" t="s">
        <v>55</v>
      </c>
      <c r="J2349">
        <v>4</v>
      </c>
      <c r="K2349" t="s">
        <v>4</v>
      </c>
      <c r="L2349" t="s">
        <v>47</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5">
      <c r="A2350" t="s">
        <v>2436</v>
      </c>
      <c r="B2350" t="s">
        <v>29</v>
      </c>
      <c r="C2350">
        <v>5</v>
      </c>
      <c r="D2350">
        <v>23.5</v>
      </c>
      <c r="E2350">
        <v>117.5</v>
      </c>
      <c r="F2350" s="1">
        <v>45744</v>
      </c>
      <c r="G2350" s="1">
        <v>45748</v>
      </c>
      <c r="H2350" t="s">
        <v>74</v>
      </c>
      <c r="I2350" t="s">
        <v>3</v>
      </c>
      <c r="J2350">
        <v>4</v>
      </c>
      <c r="K2350" t="s">
        <v>4</v>
      </c>
      <c r="L2350" t="s">
        <v>47</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5">
      <c r="A2351" t="s">
        <v>2437</v>
      </c>
      <c r="B2351" t="s">
        <v>31</v>
      </c>
      <c r="C2351">
        <v>3</v>
      </c>
      <c r="D2351">
        <v>44.6</v>
      </c>
      <c r="E2351">
        <v>133.80000000000001</v>
      </c>
      <c r="F2351" s="1">
        <v>45744</v>
      </c>
      <c r="G2351" s="1">
        <v>45747</v>
      </c>
      <c r="H2351" t="s">
        <v>12</v>
      </c>
      <c r="I2351" t="s">
        <v>55</v>
      </c>
      <c r="J2351">
        <v>3</v>
      </c>
      <c r="K2351" t="s">
        <v>4</v>
      </c>
      <c r="L2351" t="s">
        <v>186</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5">
      <c r="A2352" t="s">
        <v>2438</v>
      </c>
      <c r="B2352" t="s">
        <v>1</v>
      </c>
      <c r="C2352">
        <v>3</v>
      </c>
      <c r="D2352">
        <v>20.100000000000001</v>
      </c>
      <c r="E2352">
        <v>60.300000000000004</v>
      </c>
      <c r="F2352" s="1">
        <v>45744</v>
      </c>
      <c r="G2352" s="1">
        <v>45746</v>
      </c>
      <c r="H2352" t="s">
        <v>12</v>
      </c>
      <c r="I2352" t="s">
        <v>36</v>
      </c>
      <c r="J2352">
        <v>2</v>
      </c>
      <c r="K2352" t="s">
        <v>4</v>
      </c>
      <c r="L2352" t="s">
        <v>62</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5">
      <c r="A2353" t="s">
        <v>2439</v>
      </c>
      <c r="B2353" t="s">
        <v>11</v>
      </c>
      <c r="C2353">
        <v>5</v>
      </c>
      <c r="D2353">
        <v>153.6</v>
      </c>
      <c r="E2353">
        <v>768</v>
      </c>
      <c r="F2353" s="1">
        <v>45744</v>
      </c>
      <c r="G2353" s="1">
        <v>45745</v>
      </c>
      <c r="H2353" t="s">
        <v>12</v>
      </c>
      <c r="I2353" t="s">
        <v>20</v>
      </c>
      <c r="J2353">
        <v>5</v>
      </c>
      <c r="K2353" t="s">
        <v>4</v>
      </c>
      <c r="L2353" t="s">
        <v>1101</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5">
      <c r="A2354" t="s">
        <v>2440</v>
      </c>
      <c r="B2354" t="s">
        <v>7</v>
      </c>
      <c r="C2354">
        <v>2</v>
      </c>
      <c r="D2354">
        <v>71.8</v>
      </c>
      <c r="E2354">
        <v>143.6</v>
      </c>
      <c r="F2354" s="1">
        <v>45744</v>
      </c>
      <c r="G2354" s="1">
        <v>45748</v>
      </c>
      <c r="H2354" t="s">
        <v>12</v>
      </c>
      <c r="I2354" t="s">
        <v>20</v>
      </c>
      <c r="J2354">
        <v>4</v>
      </c>
      <c r="K2354" t="s">
        <v>4</v>
      </c>
      <c r="L2354" t="s">
        <v>9</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5">
      <c r="A2355" t="s">
        <v>2441</v>
      </c>
      <c r="B2355" t="s">
        <v>39</v>
      </c>
      <c r="C2355">
        <v>1</v>
      </c>
      <c r="D2355">
        <v>64.7</v>
      </c>
      <c r="E2355">
        <v>64.7</v>
      </c>
      <c r="F2355" s="1">
        <v>45744</v>
      </c>
      <c r="G2355" s="1">
        <v>45746</v>
      </c>
      <c r="H2355" t="s">
        <v>2</v>
      </c>
      <c r="I2355" t="s">
        <v>3</v>
      </c>
      <c r="J2355">
        <v>3</v>
      </c>
      <c r="K2355" t="s">
        <v>4</v>
      </c>
      <c r="L2355" t="s">
        <v>9</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5">
      <c r="A2356" t="s">
        <v>2442</v>
      </c>
      <c r="B2356" t="s">
        <v>31</v>
      </c>
      <c r="C2356">
        <v>8</v>
      </c>
      <c r="D2356">
        <v>60.4</v>
      </c>
      <c r="E2356">
        <v>483.2</v>
      </c>
      <c r="F2356" s="1">
        <v>45744</v>
      </c>
      <c r="G2356" s="1">
        <v>45746</v>
      </c>
      <c r="H2356" t="s">
        <v>12</v>
      </c>
      <c r="I2356" t="s">
        <v>36</v>
      </c>
      <c r="J2356">
        <v>5</v>
      </c>
      <c r="K2356" t="s">
        <v>4</v>
      </c>
      <c r="L2356" t="s">
        <v>13</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5">
      <c r="A2357" t="s">
        <v>2443</v>
      </c>
      <c r="B2357" t="s">
        <v>24</v>
      </c>
      <c r="C2357">
        <v>4</v>
      </c>
      <c r="D2357">
        <v>86</v>
      </c>
      <c r="E2357">
        <v>344</v>
      </c>
      <c r="F2357" s="1">
        <v>45744</v>
      </c>
      <c r="G2357" s="1">
        <v>45747</v>
      </c>
      <c r="H2357" t="s">
        <v>12</v>
      </c>
      <c r="I2357" t="s">
        <v>25</v>
      </c>
      <c r="J2357">
        <v>5</v>
      </c>
      <c r="K2357" t="s">
        <v>4</v>
      </c>
      <c r="L2357" t="s">
        <v>132</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5">
      <c r="A2358" t="s">
        <v>2444</v>
      </c>
      <c r="B2358" t="s">
        <v>54</v>
      </c>
      <c r="C2358">
        <v>2</v>
      </c>
      <c r="D2358">
        <v>42.1</v>
      </c>
      <c r="E2358">
        <v>84.2</v>
      </c>
      <c r="F2358" s="1">
        <v>45744</v>
      </c>
      <c r="G2358" s="1">
        <v>45745</v>
      </c>
      <c r="H2358" t="s">
        <v>12</v>
      </c>
      <c r="I2358" t="s">
        <v>55</v>
      </c>
      <c r="J2358">
        <v>3</v>
      </c>
      <c r="K2358" t="s">
        <v>4</v>
      </c>
      <c r="L2358" t="s">
        <v>319</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5">
      <c r="A2359" t="s">
        <v>2445</v>
      </c>
      <c r="B2359" t="s">
        <v>113</v>
      </c>
      <c r="C2359">
        <v>9</v>
      </c>
      <c r="D2359">
        <v>51.1</v>
      </c>
      <c r="E2359">
        <v>459.90000000000003</v>
      </c>
      <c r="F2359" s="1">
        <v>45744</v>
      </c>
      <c r="G2359" s="1">
        <v>45745</v>
      </c>
      <c r="H2359" t="s">
        <v>8</v>
      </c>
      <c r="I2359" t="s">
        <v>25</v>
      </c>
      <c r="J2359">
        <v>3</v>
      </c>
      <c r="K2359" t="s">
        <v>4</v>
      </c>
      <c r="L2359" t="s">
        <v>18</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5">
      <c r="A2360" t="s">
        <v>2446</v>
      </c>
      <c r="B2360" t="s">
        <v>31</v>
      </c>
      <c r="C2360">
        <v>4</v>
      </c>
      <c r="D2360">
        <v>73.8</v>
      </c>
      <c r="E2360">
        <v>295.2</v>
      </c>
      <c r="F2360" s="1">
        <v>45744</v>
      </c>
      <c r="G2360" s="1">
        <v>45745</v>
      </c>
      <c r="H2360" t="s">
        <v>8</v>
      </c>
      <c r="I2360" t="s">
        <v>55</v>
      </c>
      <c r="J2360">
        <v>4</v>
      </c>
      <c r="K2360" t="s">
        <v>4</v>
      </c>
      <c r="L2360" t="s">
        <v>18</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5">
      <c r="A2361" t="s">
        <v>2447</v>
      </c>
      <c r="B2361" t="s">
        <v>29</v>
      </c>
      <c r="C2361">
        <v>5</v>
      </c>
      <c r="D2361">
        <v>27</v>
      </c>
      <c r="E2361">
        <v>135</v>
      </c>
      <c r="F2361" s="1">
        <v>45744</v>
      </c>
      <c r="G2361" s="1">
        <v>45747</v>
      </c>
      <c r="H2361" t="s">
        <v>12</v>
      </c>
      <c r="I2361" t="s">
        <v>25</v>
      </c>
      <c r="J2361">
        <v>5</v>
      </c>
      <c r="K2361" t="s">
        <v>4</v>
      </c>
      <c r="L2361" t="s">
        <v>18</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5">
      <c r="A2362" t="s">
        <v>2448</v>
      </c>
      <c r="B2362" t="s">
        <v>29</v>
      </c>
      <c r="C2362">
        <v>6</v>
      </c>
      <c r="D2362">
        <v>60.1</v>
      </c>
      <c r="E2362">
        <v>360.6</v>
      </c>
      <c r="F2362" s="1">
        <v>45744</v>
      </c>
      <c r="G2362" s="1">
        <v>45745</v>
      </c>
      <c r="H2362" t="s">
        <v>8</v>
      </c>
      <c r="I2362" t="s">
        <v>36</v>
      </c>
      <c r="J2362">
        <v>4</v>
      </c>
      <c r="K2362" t="s">
        <v>4</v>
      </c>
      <c r="L2362" t="s">
        <v>18</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5">
      <c r="A2363" t="s">
        <v>2449</v>
      </c>
      <c r="B2363" t="s">
        <v>11</v>
      </c>
      <c r="C2363">
        <v>7</v>
      </c>
      <c r="D2363">
        <v>94.1</v>
      </c>
      <c r="E2363">
        <v>658.69999999999993</v>
      </c>
      <c r="F2363" s="1">
        <v>45744</v>
      </c>
      <c r="G2363" s="1">
        <v>45746</v>
      </c>
      <c r="H2363" t="s">
        <v>12</v>
      </c>
      <c r="I2363" t="s">
        <v>55</v>
      </c>
      <c r="J2363">
        <v>3</v>
      </c>
      <c r="K2363" t="s">
        <v>4</v>
      </c>
      <c r="L2363" t="s">
        <v>18</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5">
      <c r="A2364" t="s">
        <v>2450</v>
      </c>
      <c r="B2364" t="s">
        <v>11</v>
      </c>
      <c r="C2364">
        <v>2</v>
      </c>
      <c r="D2364">
        <v>124.1</v>
      </c>
      <c r="E2364">
        <v>248.2</v>
      </c>
      <c r="F2364" s="1">
        <v>45744</v>
      </c>
      <c r="G2364" s="1">
        <v>45744</v>
      </c>
      <c r="H2364" t="s">
        <v>12</v>
      </c>
      <c r="I2364" t="s">
        <v>25</v>
      </c>
      <c r="J2364">
        <v>1</v>
      </c>
      <c r="K2364" t="s">
        <v>4</v>
      </c>
      <c r="L2364" t="s">
        <v>530</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5">
      <c r="A2365" t="s">
        <v>2451</v>
      </c>
      <c r="B2365" t="s">
        <v>29</v>
      </c>
      <c r="C2365">
        <v>4</v>
      </c>
      <c r="D2365">
        <v>16.899999999999999</v>
      </c>
      <c r="E2365">
        <v>67.599999999999994</v>
      </c>
      <c r="F2365" s="1">
        <v>45744</v>
      </c>
      <c r="G2365" s="1">
        <v>45747</v>
      </c>
      <c r="H2365" t="s">
        <v>8</v>
      </c>
      <c r="I2365" t="s">
        <v>36</v>
      </c>
      <c r="J2365">
        <v>4</v>
      </c>
      <c r="K2365" t="s">
        <v>4</v>
      </c>
      <c r="L2365" t="s">
        <v>40</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5">
      <c r="A2366" t="s">
        <v>2452</v>
      </c>
      <c r="B2366" t="s">
        <v>7</v>
      </c>
      <c r="C2366">
        <v>1</v>
      </c>
      <c r="D2366">
        <v>36.9</v>
      </c>
      <c r="E2366">
        <v>36.9</v>
      </c>
      <c r="F2366" s="1">
        <v>45744</v>
      </c>
      <c r="G2366" s="1">
        <v>45745</v>
      </c>
      <c r="H2366" t="s">
        <v>8</v>
      </c>
      <c r="I2366" t="s">
        <v>3</v>
      </c>
      <c r="J2366">
        <v>4</v>
      </c>
      <c r="K2366" t="s">
        <v>4</v>
      </c>
      <c r="L2366" t="s">
        <v>40</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5">
      <c r="A2367" t="s">
        <v>2453</v>
      </c>
      <c r="B2367" t="s">
        <v>31</v>
      </c>
      <c r="C2367">
        <v>2</v>
      </c>
      <c r="D2367">
        <v>22.6</v>
      </c>
      <c r="E2367">
        <v>45.2</v>
      </c>
      <c r="F2367" s="1">
        <v>45744</v>
      </c>
      <c r="G2367" s="1">
        <v>45757</v>
      </c>
      <c r="H2367" t="s">
        <v>12</v>
      </c>
      <c r="I2367" t="s">
        <v>25</v>
      </c>
      <c r="J2367">
        <v>3</v>
      </c>
      <c r="K2367" t="s">
        <v>4</v>
      </c>
      <c r="L2367" t="s">
        <v>47</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5">
      <c r="A2368" t="s">
        <v>2454</v>
      </c>
      <c r="B2368" t="s">
        <v>27</v>
      </c>
      <c r="C2368">
        <v>4</v>
      </c>
      <c r="D2368">
        <v>35</v>
      </c>
      <c r="E2368">
        <v>140</v>
      </c>
      <c r="F2368" s="1">
        <v>45744</v>
      </c>
      <c r="G2368" s="1">
        <v>45749</v>
      </c>
      <c r="H2368" t="s">
        <v>8</v>
      </c>
      <c r="I2368" t="s">
        <v>36</v>
      </c>
      <c r="J2368">
        <v>3</v>
      </c>
      <c r="K2368" t="s">
        <v>4</v>
      </c>
      <c r="L2368" t="s">
        <v>47</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5">
      <c r="A2369" t="s">
        <v>2455</v>
      </c>
      <c r="B2369" t="s">
        <v>31</v>
      </c>
      <c r="C2369">
        <v>6</v>
      </c>
      <c r="D2369">
        <v>63.6</v>
      </c>
      <c r="E2369">
        <v>381.6</v>
      </c>
      <c r="F2369" s="1">
        <v>45744</v>
      </c>
      <c r="G2369" s="1">
        <v>45751</v>
      </c>
      <c r="H2369" t="s">
        <v>2</v>
      </c>
      <c r="I2369" t="s">
        <v>20</v>
      </c>
      <c r="J2369">
        <v>5</v>
      </c>
      <c r="K2369" t="s">
        <v>4</v>
      </c>
      <c r="L2369" t="s">
        <v>47</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5">
      <c r="A2370" t="s">
        <v>2456</v>
      </c>
      <c r="B2370" t="s">
        <v>108</v>
      </c>
      <c r="C2370">
        <v>4</v>
      </c>
      <c r="D2370">
        <v>78.599999999999994</v>
      </c>
      <c r="E2370">
        <v>314.39999999999998</v>
      </c>
      <c r="F2370" s="1">
        <v>45744</v>
      </c>
      <c r="G2370" s="1">
        <v>45745</v>
      </c>
      <c r="H2370" t="s">
        <v>8</v>
      </c>
      <c r="I2370" t="s">
        <v>55</v>
      </c>
      <c r="J2370">
        <v>3</v>
      </c>
      <c r="K2370" t="s">
        <v>4</v>
      </c>
      <c r="L2370" t="s">
        <v>47</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5">
      <c r="A2371" t="s">
        <v>2457</v>
      </c>
      <c r="B2371" t="s">
        <v>15</v>
      </c>
      <c r="C2371">
        <v>2</v>
      </c>
      <c r="D2371">
        <v>38.5</v>
      </c>
      <c r="E2371">
        <v>77</v>
      </c>
      <c r="F2371" s="1">
        <v>45744</v>
      </c>
      <c r="G2371" s="1">
        <v>45745</v>
      </c>
      <c r="H2371" t="s">
        <v>8</v>
      </c>
      <c r="I2371" t="s">
        <v>3</v>
      </c>
      <c r="J2371">
        <v>5</v>
      </c>
      <c r="K2371" t="s">
        <v>4</v>
      </c>
      <c r="L2371" t="s">
        <v>47</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5">
      <c r="A2372" t="s">
        <v>2458</v>
      </c>
      <c r="B2372" t="s">
        <v>29</v>
      </c>
      <c r="C2372">
        <v>11</v>
      </c>
      <c r="D2372">
        <v>71.5</v>
      </c>
      <c r="E2372">
        <v>786.5</v>
      </c>
      <c r="F2372" s="1">
        <v>45744</v>
      </c>
      <c r="G2372" s="1">
        <v>45745</v>
      </c>
      <c r="H2372" t="s">
        <v>12</v>
      </c>
      <c r="I2372" t="s">
        <v>20</v>
      </c>
      <c r="J2372">
        <v>2</v>
      </c>
      <c r="K2372" t="s">
        <v>4</v>
      </c>
      <c r="L2372" t="s">
        <v>47</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5">
      <c r="A2373" t="s">
        <v>2459</v>
      </c>
      <c r="B2373" t="s">
        <v>24</v>
      </c>
      <c r="C2373">
        <v>4</v>
      </c>
      <c r="D2373">
        <v>121.4</v>
      </c>
      <c r="E2373">
        <v>485.6</v>
      </c>
      <c r="F2373" s="1">
        <v>45744</v>
      </c>
      <c r="G2373" s="1">
        <v>45748</v>
      </c>
      <c r="H2373" t="s">
        <v>8</v>
      </c>
      <c r="I2373" t="s">
        <v>20</v>
      </c>
      <c r="J2373">
        <v>5</v>
      </c>
      <c r="K2373" t="s">
        <v>4</v>
      </c>
      <c r="L2373" t="s">
        <v>88</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5">
      <c r="A2374" t="s">
        <v>2460</v>
      </c>
      <c r="B2374" t="s">
        <v>52</v>
      </c>
      <c r="C2374">
        <v>1</v>
      </c>
      <c r="D2374">
        <v>40.200000000000003</v>
      </c>
      <c r="E2374">
        <v>40.200000000000003</v>
      </c>
      <c r="F2374" s="1">
        <v>45744</v>
      </c>
      <c r="G2374" s="1">
        <v>45747</v>
      </c>
      <c r="H2374" t="s">
        <v>12</v>
      </c>
      <c r="I2374" t="s">
        <v>3</v>
      </c>
      <c r="J2374">
        <v>5</v>
      </c>
      <c r="K2374" t="s">
        <v>4</v>
      </c>
      <c r="L2374" t="s">
        <v>62</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5">
      <c r="A2375" t="s">
        <v>2461</v>
      </c>
      <c r="B2375" t="s">
        <v>22</v>
      </c>
      <c r="C2375">
        <v>5</v>
      </c>
      <c r="D2375">
        <v>31.9</v>
      </c>
      <c r="E2375">
        <v>159.5</v>
      </c>
      <c r="F2375" s="1">
        <v>45744</v>
      </c>
      <c r="G2375" s="1">
        <v>45746</v>
      </c>
      <c r="H2375" t="s">
        <v>12</v>
      </c>
      <c r="I2375" t="s">
        <v>25</v>
      </c>
      <c r="J2375">
        <v>5</v>
      </c>
      <c r="K2375" t="s">
        <v>4</v>
      </c>
      <c r="L2375" t="s">
        <v>228</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5">
      <c r="A2376" t="s">
        <v>2462</v>
      </c>
      <c r="B2376" t="s">
        <v>66</v>
      </c>
      <c r="C2376">
        <v>5</v>
      </c>
      <c r="D2376">
        <v>15.8</v>
      </c>
      <c r="E2376">
        <v>79</v>
      </c>
      <c r="F2376" s="1">
        <v>45745</v>
      </c>
      <c r="G2376" s="1">
        <v>45746</v>
      </c>
      <c r="H2376" t="s">
        <v>8</v>
      </c>
      <c r="I2376" t="s">
        <v>36</v>
      </c>
      <c r="J2376">
        <v>5</v>
      </c>
      <c r="K2376" t="s">
        <v>4</v>
      </c>
      <c r="L2376" t="s">
        <v>100</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5">
      <c r="A2377" t="s">
        <v>2463</v>
      </c>
      <c r="B2377" t="s">
        <v>39</v>
      </c>
      <c r="C2377">
        <v>2</v>
      </c>
      <c r="D2377">
        <v>25.1</v>
      </c>
      <c r="E2377">
        <v>50.2</v>
      </c>
      <c r="F2377" s="1">
        <v>45745</v>
      </c>
      <c r="G2377" s="1">
        <v>45747</v>
      </c>
      <c r="H2377" t="s">
        <v>2</v>
      </c>
      <c r="I2377" t="s">
        <v>20</v>
      </c>
      <c r="J2377">
        <v>4</v>
      </c>
      <c r="K2377" t="s">
        <v>4</v>
      </c>
      <c r="L2377" t="s">
        <v>100</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5">
      <c r="A2378" t="s">
        <v>2464</v>
      </c>
      <c r="B2378" t="s">
        <v>7</v>
      </c>
      <c r="C2378">
        <v>23</v>
      </c>
      <c r="D2378">
        <v>38.1</v>
      </c>
      <c r="E2378">
        <v>876.30000000000007</v>
      </c>
      <c r="F2378" s="1">
        <v>45745</v>
      </c>
      <c r="G2378" s="1">
        <v>45746</v>
      </c>
      <c r="H2378" t="s">
        <v>12</v>
      </c>
      <c r="I2378" t="s">
        <v>55</v>
      </c>
      <c r="J2378">
        <v>4</v>
      </c>
      <c r="K2378" t="s">
        <v>4</v>
      </c>
      <c r="L2378" t="s">
        <v>9</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5">
      <c r="A2379" t="s">
        <v>2465</v>
      </c>
      <c r="B2379" t="s">
        <v>15</v>
      </c>
      <c r="C2379">
        <v>2</v>
      </c>
      <c r="D2379">
        <v>42.2</v>
      </c>
      <c r="E2379">
        <v>84.4</v>
      </c>
      <c r="F2379" s="1">
        <v>45745</v>
      </c>
      <c r="G2379" s="1">
        <v>45747</v>
      </c>
      <c r="H2379" t="s">
        <v>12</v>
      </c>
      <c r="I2379" t="s">
        <v>3</v>
      </c>
      <c r="J2379">
        <v>5</v>
      </c>
      <c r="K2379" t="s">
        <v>4</v>
      </c>
      <c r="L2379" t="s">
        <v>9</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5">
      <c r="A2380" t="s">
        <v>2466</v>
      </c>
      <c r="B2380" t="s">
        <v>1</v>
      </c>
      <c r="C2380">
        <v>10</v>
      </c>
      <c r="D2380">
        <v>12.3</v>
      </c>
      <c r="E2380">
        <v>123</v>
      </c>
      <c r="F2380" s="1">
        <v>45745</v>
      </c>
      <c r="G2380" s="1">
        <v>45746</v>
      </c>
      <c r="H2380" t="s">
        <v>12</v>
      </c>
      <c r="I2380" t="s">
        <v>55</v>
      </c>
      <c r="J2380">
        <v>4</v>
      </c>
      <c r="K2380" t="s">
        <v>4</v>
      </c>
      <c r="L2380" t="s">
        <v>13</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5">
      <c r="A2381" t="s">
        <v>2467</v>
      </c>
      <c r="B2381" t="s">
        <v>27</v>
      </c>
      <c r="C2381">
        <v>1</v>
      </c>
      <c r="D2381">
        <v>30.2</v>
      </c>
      <c r="E2381">
        <v>30.2</v>
      </c>
      <c r="F2381" s="1">
        <v>45745</v>
      </c>
      <c r="G2381" s="1">
        <v>45747</v>
      </c>
      <c r="H2381" t="s">
        <v>12</v>
      </c>
      <c r="I2381" t="s">
        <v>20</v>
      </c>
      <c r="J2381">
        <v>5</v>
      </c>
      <c r="K2381" t="s">
        <v>4</v>
      </c>
      <c r="L2381" t="s">
        <v>319</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5">
      <c r="A2382" t="s">
        <v>2468</v>
      </c>
      <c r="B2382" t="s">
        <v>22</v>
      </c>
      <c r="C2382">
        <v>3</v>
      </c>
      <c r="D2382">
        <v>25.3</v>
      </c>
      <c r="E2382">
        <v>75.900000000000006</v>
      </c>
      <c r="F2382" s="1">
        <v>45745</v>
      </c>
      <c r="G2382" s="1">
        <v>45748</v>
      </c>
      <c r="H2382" t="s">
        <v>12</v>
      </c>
      <c r="I2382" t="s">
        <v>25</v>
      </c>
      <c r="J2382">
        <v>4</v>
      </c>
      <c r="K2382" t="s">
        <v>4</v>
      </c>
      <c r="L2382" t="s">
        <v>18</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5">
      <c r="A2383" t="s">
        <v>2469</v>
      </c>
      <c r="B2383" t="s">
        <v>29</v>
      </c>
      <c r="C2383">
        <v>5</v>
      </c>
      <c r="D2383">
        <v>29.7</v>
      </c>
      <c r="E2383">
        <v>148.5</v>
      </c>
      <c r="F2383" s="1">
        <v>45745</v>
      </c>
      <c r="G2383" s="1">
        <v>45747</v>
      </c>
      <c r="H2383" t="s">
        <v>8</v>
      </c>
      <c r="I2383" t="s">
        <v>36</v>
      </c>
      <c r="J2383">
        <v>4</v>
      </c>
      <c r="K2383" t="s">
        <v>4</v>
      </c>
      <c r="L2383" t="s">
        <v>18</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5">
      <c r="A2384" t="s">
        <v>2470</v>
      </c>
      <c r="B2384" t="s">
        <v>31</v>
      </c>
      <c r="C2384">
        <v>8</v>
      </c>
      <c r="D2384">
        <v>32.9</v>
      </c>
      <c r="E2384">
        <v>263.2</v>
      </c>
      <c r="F2384" s="1">
        <v>45745</v>
      </c>
      <c r="G2384" s="1">
        <v>45746</v>
      </c>
      <c r="H2384" t="s">
        <v>2</v>
      </c>
      <c r="I2384" t="s">
        <v>36</v>
      </c>
      <c r="J2384">
        <v>5</v>
      </c>
      <c r="K2384" t="s">
        <v>4</v>
      </c>
      <c r="L2384" t="s">
        <v>18</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5">
      <c r="A2385" t="s">
        <v>2471</v>
      </c>
      <c r="B2385" t="s">
        <v>39</v>
      </c>
      <c r="C2385">
        <v>2</v>
      </c>
      <c r="D2385">
        <v>43.6</v>
      </c>
      <c r="E2385">
        <v>87.2</v>
      </c>
      <c r="F2385" s="1">
        <v>45745</v>
      </c>
      <c r="G2385" s="1">
        <v>45746</v>
      </c>
      <c r="H2385" t="s">
        <v>8</v>
      </c>
      <c r="I2385" t="s">
        <v>20</v>
      </c>
      <c r="J2385">
        <v>5</v>
      </c>
      <c r="K2385" t="s">
        <v>4</v>
      </c>
      <c r="L2385" t="s">
        <v>18</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5">
      <c r="A2386" t="s">
        <v>2472</v>
      </c>
      <c r="B2386" t="s">
        <v>108</v>
      </c>
      <c r="C2386">
        <v>4</v>
      </c>
      <c r="D2386">
        <v>78.400000000000006</v>
      </c>
      <c r="E2386">
        <v>313.60000000000002</v>
      </c>
      <c r="F2386" s="1">
        <v>45745</v>
      </c>
      <c r="G2386" s="1">
        <v>45746</v>
      </c>
      <c r="H2386" t="s">
        <v>8</v>
      </c>
      <c r="I2386" t="s">
        <v>25</v>
      </c>
      <c r="J2386">
        <v>4</v>
      </c>
      <c r="K2386" t="s">
        <v>4</v>
      </c>
      <c r="L2386" t="s">
        <v>18</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5">
      <c r="A2387" t="s">
        <v>2473</v>
      </c>
      <c r="B2387" t="s">
        <v>24</v>
      </c>
      <c r="C2387">
        <v>2</v>
      </c>
      <c r="D2387">
        <v>56.5</v>
      </c>
      <c r="E2387">
        <v>113</v>
      </c>
      <c r="F2387" s="1">
        <v>45745</v>
      </c>
      <c r="G2387" s="1">
        <v>45749</v>
      </c>
      <c r="H2387" t="s">
        <v>8</v>
      </c>
      <c r="I2387" t="s">
        <v>20</v>
      </c>
      <c r="J2387">
        <v>3</v>
      </c>
      <c r="K2387" t="s">
        <v>4</v>
      </c>
      <c r="L2387" t="s">
        <v>18</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5">
      <c r="A2388" t="s">
        <v>2474</v>
      </c>
      <c r="B2388" t="s">
        <v>113</v>
      </c>
      <c r="C2388">
        <v>1</v>
      </c>
      <c r="D2388">
        <v>36.700000000000003</v>
      </c>
      <c r="E2388">
        <v>36.700000000000003</v>
      </c>
      <c r="F2388" s="1">
        <v>45745</v>
      </c>
      <c r="G2388" s="1">
        <v>45746</v>
      </c>
      <c r="H2388" t="s">
        <v>12</v>
      </c>
      <c r="I2388" t="s">
        <v>3</v>
      </c>
      <c r="J2388">
        <v>5</v>
      </c>
      <c r="K2388" t="s">
        <v>4</v>
      </c>
      <c r="L2388" t="s">
        <v>18</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5">
      <c r="A2389" t="s">
        <v>2475</v>
      </c>
      <c r="B2389" t="s">
        <v>11</v>
      </c>
      <c r="C2389">
        <v>4</v>
      </c>
      <c r="D2389">
        <v>103.6</v>
      </c>
      <c r="E2389">
        <v>414.4</v>
      </c>
      <c r="F2389" s="1">
        <v>45745</v>
      </c>
      <c r="G2389" s="1">
        <v>45756</v>
      </c>
      <c r="H2389" t="s">
        <v>8</v>
      </c>
      <c r="I2389" t="s">
        <v>55</v>
      </c>
      <c r="J2389">
        <v>5</v>
      </c>
      <c r="K2389" t="s">
        <v>4</v>
      </c>
      <c r="L2389" t="s">
        <v>18</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5">
      <c r="A2390" t="s">
        <v>2476</v>
      </c>
      <c r="B2390" t="s">
        <v>29</v>
      </c>
      <c r="C2390">
        <v>6</v>
      </c>
      <c r="D2390">
        <v>16.2</v>
      </c>
      <c r="E2390">
        <v>97.199999999999989</v>
      </c>
      <c r="F2390" s="1">
        <v>45745</v>
      </c>
      <c r="G2390" s="1">
        <v>45749</v>
      </c>
      <c r="H2390" t="s">
        <v>8</v>
      </c>
      <c r="I2390" t="s">
        <v>20</v>
      </c>
      <c r="J2390">
        <v>5</v>
      </c>
      <c r="K2390" t="s">
        <v>4</v>
      </c>
      <c r="L2390" t="s">
        <v>40</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5">
      <c r="A2391" t="s">
        <v>2477</v>
      </c>
      <c r="B2391" t="s">
        <v>29</v>
      </c>
      <c r="C2391">
        <v>2</v>
      </c>
      <c r="D2391">
        <v>20.2</v>
      </c>
      <c r="E2391">
        <v>40.4</v>
      </c>
      <c r="F2391" s="1">
        <v>45745</v>
      </c>
      <c r="G2391" s="1">
        <v>45746</v>
      </c>
      <c r="H2391" t="s">
        <v>12</v>
      </c>
      <c r="I2391" t="s">
        <v>3</v>
      </c>
      <c r="J2391">
        <v>4</v>
      </c>
      <c r="K2391" t="s">
        <v>4</v>
      </c>
      <c r="L2391" t="s">
        <v>40</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5">
      <c r="A2392" t="s">
        <v>2478</v>
      </c>
      <c r="B2392" t="s">
        <v>52</v>
      </c>
      <c r="C2392">
        <v>2</v>
      </c>
      <c r="D2392">
        <v>26.9</v>
      </c>
      <c r="E2392">
        <v>53.8</v>
      </c>
      <c r="F2392" s="1">
        <v>45745</v>
      </c>
      <c r="G2392" s="1">
        <v>45747</v>
      </c>
      <c r="H2392" t="s">
        <v>12</v>
      </c>
      <c r="I2392" t="s">
        <v>25</v>
      </c>
      <c r="J2392">
        <v>4</v>
      </c>
      <c r="K2392" t="s">
        <v>4</v>
      </c>
      <c r="L2392" t="s">
        <v>40</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5">
      <c r="A2393" t="s">
        <v>2479</v>
      </c>
      <c r="B2393" t="s">
        <v>7</v>
      </c>
      <c r="C2393">
        <v>2</v>
      </c>
      <c r="D2393">
        <v>82.4</v>
      </c>
      <c r="E2393">
        <v>164.8</v>
      </c>
      <c r="F2393" s="1">
        <v>45745</v>
      </c>
      <c r="G2393" s="1">
        <v>45748</v>
      </c>
      <c r="H2393" t="s">
        <v>2</v>
      </c>
      <c r="I2393" t="s">
        <v>3</v>
      </c>
      <c r="J2393">
        <v>4</v>
      </c>
      <c r="K2393" t="s">
        <v>4</v>
      </c>
      <c r="L2393" t="s">
        <v>44</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5">
      <c r="A2394" t="s">
        <v>2480</v>
      </c>
      <c r="B2394" t="s">
        <v>11</v>
      </c>
      <c r="C2394">
        <v>2</v>
      </c>
      <c r="D2394">
        <v>117.8</v>
      </c>
      <c r="E2394">
        <v>235.6</v>
      </c>
      <c r="F2394" s="1">
        <v>45745</v>
      </c>
      <c r="G2394" s="1">
        <v>45747</v>
      </c>
      <c r="H2394" t="s">
        <v>8</v>
      </c>
      <c r="I2394" t="s">
        <v>20</v>
      </c>
      <c r="J2394">
        <v>5</v>
      </c>
      <c r="K2394" t="s">
        <v>4</v>
      </c>
      <c r="L2394" t="s">
        <v>47</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5">
      <c r="A2395" t="s">
        <v>2481</v>
      </c>
      <c r="B2395" t="s">
        <v>52</v>
      </c>
      <c r="C2395">
        <v>4</v>
      </c>
      <c r="D2395">
        <v>36.700000000000003</v>
      </c>
      <c r="E2395">
        <v>146.80000000000001</v>
      </c>
      <c r="F2395" s="1">
        <v>45745</v>
      </c>
      <c r="G2395" s="1">
        <v>45746</v>
      </c>
      <c r="H2395" t="s">
        <v>8</v>
      </c>
      <c r="I2395" t="s">
        <v>20</v>
      </c>
      <c r="J2395">
        <v>4</v>
      </c>
      <c r="K2395" t="s">
        <v>4</v>
      </c>
      <c r="L2395" t="s">
        <v>47</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5">
      <c r="A2396" t="s">
        <v>2482</v>
      </c>
      <c r="B2396" t="s">
        <v>120</v>
      </c>
      <c r="C2396">
        <v>3</v>
      </c>
      <c r="D2396">
        <v>46.8</v>
      </c>
      <c r="E2396">
        <v>140.39999999999998</v>
      </c>
      <c r="F2396" s="1">
        <v>45745</v>
      </c>
      <c r="G2396" s="1">
        <v>45746</v>
      </c>
      <c r="H2396" t="s">
        <v>8</v>
      </c>
      <c r="I2396" t="s">
        <v>55</v>
      </c>
      <c r="J2396">
        <v>5</v>
      </c>
      <c r="K2396" t="s">
        <v>4</v>
      </c>
      <c r="L2396" t="s">
        <v>59</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5">
      <c r="A2397" t="s">
        <v>2483</v>
      </c>
      <c r="B2397" t="s">
        <v>15</v>
      </c>
      <c r="C2397">
        <v>1</v>
      </c>
      <c r="D2397">
        <v>61.4</v>
      </c>
      <c r="E2397">
        <v>61.4</v>
      </c>
      <c r="F2397" s="1">
        <v>45745</v>
      </c>
      <c r="G2397" s="1">
        <v>45746</v>
      </c>
      <c r="H2397" t="s">
        <v>8</v>
      </c>
      <c r="I2397" t="s">
        <v>20</v>
      </c>
      <c r="J2397">
        <v>4</v>
      </c>
      <c r="K2397" t="s">
        <v>4</v>
      </c>
      <c r="L2397" t="s">
        <v>59</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5">
      <c r="A2398" t="s">
        <v>2484</v>
      </c>
      <c r="B2398" t="s">
        <v>108</v>
      </c>
      <c r="C2398">
        <v>2</v>
      </c>
      <c r="D2398">
        <v>22.9</v>
      </c>
      <c r="E2398">
        <v>45.8</v>
      </c>
      <c r="F2398" s="1">
        <v>45745</v>
      </c>
      <c r="G2398" s="1">
        <v>45746</v>
      </c>
      <c r="H2398" t="s">
        <v>8</v>
      </c>
      <c r="I2398" t="s">
        <v>3</v>
      </c>
      <c r="J2398">
        <v>4</v>
      </c>
      <c r="K2398" t="s">
        <v>4</v>
      </c>
      <c r="L2398" t="s">
        <v>62</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5">
      <c r="A2399" t="s">
        <v>2485</v>
      </c>
      <c r="B2399" t="s">
        <v>39</v>
      </c>
      <c r="C2399">
        <v>2</v>
      </c>
      <c r="D2399">
        <v>22.1</v>
      </c>
      <c r="E2399">
        <v>44.2</v>
      </c>
      <c r="F2399" s="1">
        <v>45745</v>
      </c>
      <c r="G2399" s="1">
        <v>45746</v>
      </c>
      <c r="H2399" t="s">
        <v>12</v>
      </c>
      <c r="I2399" t="s">
        <v>55</v>
      </c>
      <c r="J2399">
        <v>4</v>
      </c>
      <c r="K2399" t="s">
        <v>4</v>
      </c>
      <c r="L2399" t="s">
        <v>62</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5">
      <c r="A2400" t="s">
        <v>2486</v>
      </c>
      <c r="B2400" t="s">
        <v>54</v>
      </c>
      <c r="C2400">
        <v>2</v>
      </c>
      <c r="D2400">
        <v>31</v>
      </c>
      <c r="E2400">
        <v>62</v>
      </c>
      <c r="F2400" s="1">
        <v>45745</v>
      </c>
      <c r="G2400" s="1">
        <v>45747</v>
      </c>
      <c r="H2400" t="s">
        <v>12</v>
      </c>
      <c r="I2400" t="s">
        <v>25</v>
      </c>
      <c r="J2400">
        <v>4</v>
      </c>
      <c r="K2400" t="s">
        <v>4</v>
      </c>
      <c r="L2400" t="s">
        <v>93</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5">
      <c r="A2401" t="s">
        <v>2487</v>
      </c>
      <c r="B2401" t="s">
        <v>131</v>
      </c>
      <c r="C2401">
        <v>2</v>
      </c>
      <c r="D2401">
        <v>84.2</v>
      </c>
      <c r="E2401">
        <v>168.4</v>
      </c>
      <c r="F2401" s="1">
        <v>45745</v>
      </c>
      <c r="G2401" s="1">
        <v>45747</v>
      </c>
      <c r="H2401" t="s">
        <v>8</v>
      </c>
      <c r="I2401" t="s">
        <v>25</v>
      </c>
      <c r="J2401">
        <v>5</v>
      </c>
      <c r="K2401" t="s">
        <v>4</v>
      </c>
      <c r="L2401" t="s">
        <v>67</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Dasshboard</vt:lpstr>
      <vt:lpstr>Pivot2</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 !</dc:creator>
  <cp:lastModifiedBy>rose !</cp:lastModifiedBy>
  <dcterms:created xsi:type="dcterms:W3CDTF">2026-03-10T04:42:31Z</dcterms:created>
  <dcterms:modified xsi:type="dcterms:W3CDTF">2026-06-07T06:42:11Z</dcterms:modified>
</cp:coreProperties>
</file>